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1" activeTab="1" autoFilterDateGrouping="1"/>
  </bookViews>
  <sheets>
    <sheet xmlns:r="http://schemas.openxmlformats.org/officeDocument/2006/relationships" name="Note Groupe" sheetId="1" state="visible" r:id="rId1"/>
    <sheet xmlns:r="http://schemas.openxmlformats.org/officeDocument/2006/relationships" name="Notes Individuelles" sheetId="2" state="visible" r:id="rId2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i val="1"/>
      <color rgb="FF1F3864"/>
      <sz val="11"/>
    </font>
    <font>
      <name val="Arial"/>
      <b val="1"/>
      <color rgb="FF1F3864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000000"/>
      <sz val="10"/>
    </font>
    <font>
      <name val="Arial"/>
      <color rgb="FF222222"/>
      <sz val="9"/>
    </font>
    <font>
      <name val="Arial"/>
      <b val="1"/>
      <color rgb="FF1F3864"/>
      <sz val="11"/>
    </font>
    <font>
      <name val="Arial"/>
      <color rgb="FF000000"/>
      <sz val="11"/>
    </font>
    <font>
      <name val="Arial"/>
      <i val="1"/>
      <color rgb="FF555555"/>
      <sz val="9"/>
    </font>
    <font>
      <name val="Arial"/>
      <b val="1"/>
      <color rgb="FFFFFFFF"/>
      <sz val="11"/>
    </font>
    <font>
      <name val="Arial"/>
      <color rgb="FFFFFFFF"/>
      <sz val="10"/>
    </font>
    <font>
      <name val="Arial"/>
      <b val="1"/>
      <color rgb="FFFFFFFF"/>
      <sz val="13"/>
    </font>
    <font>
      <name val="Arial"/>
      <b val="1"/>
      <color rgb="FFFFF2CC"/>
      <sz val="14"/>
    </font>
    <font>
      <name val="Arial"/>
      <color rgb="FF000000"/>
      <sz val="10"/>
    </font>
    <font>
      <name val="Arial"/>
      <b val="1"/>
      <color rgb="FFFFFFFF"/>
      <sz val="16"/>
    </font>
    <font>
      <name val="Arial"/>
      <i val="1"/>
      <color rgb="FF1F3864"/>
      <sz val="9"/>
    </font>
    <font>
      <name val="Arial"/>
      <b val="1"/>
      <color rgb="FFFFFFFF"/>
      <sz val="9"/>
    </font>
    <font>
      <name val="Arial"/>
      <i val="1"/>
      <color rgb="FF444444"/>
      <sz val="9"/>
    </font>
    <font>
      <name val="Arial"/>
      <b val="1"/>
      <color rgb="FF1F3864"/>
      <sz val="9"/>
    </font>
    <font>
      <name val="Arial"/>
      <color rgb="FF333333"/>
      <sz val="10"/>
    </font>
    <font>
      <name val="Arial"/>
      <b val="1"/>
      <color rgb="FF1F3864"/>
      <sz val="18"/>
    </font>
    <font>
      <name val="Arial"/>
      <color rgb="FF000000"/>
      <sz val="12"/>
    </font>
    <font>
      <name val="Arial"/>
      <color rgb="FF1E5631"/>
      <sz val="11"/>
    </font>
    <font>
      <name val="Arial"/>
      <b val="1"/>
      <color rgb="FF1F3864"/>
      <sz val="12"/>
    </font>
    <font>
      <name val="Calibri"/>
      <family val="2"/>
      <color theme="1"/>
      <sz val="12"/>
      <scheme val="minor"/>
    </font>
  </fonts>
  <fills count="2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D4E6F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7B241C"/>
      </patternFill>
    </fill>
    <fill>
      <patternFill patternType="solid">
        <fgColor rgb="FFFAD7D7"/>
      </patternFill>
    </fill>
    <fill>
      <patternFill patternType="solid">
        <fgColor rgb="FFFDEDEC"/>
      </patternFill>
    </fill>
    <fill>
      <patternFill patternType="solid">
        <fgColor rgb="FF2E75B6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F0F6FC"/>
      </patternFill>
    </fill>
    <fill>
      <patternFill patternType="solid">
        <fgColor rgb="FF2E4057"/>
      </patternFill>
    </fill>
    <fill>
      <patternFill patternType="solid">
        <fgColor rgb="FFF9F9F9"/>
      </patternFill>
    </fill>
    <fill>
      <patternFill patternType="solid">
        <fgColor rgb="FF6C3483"/>
      </patternFill>
    </fill>
    <fill>
      <patternFill patternType="solid">
        <fgColor rgb="FF784212"/>
      </patternFill>
    </fill>
    <fill>
      <patternFill patternType="solid">
        <fgColor rgb="FFF4ECF7"/>
      </patternFill>
    </fill>
    <fill>
      <patternFill patternType="solid">
        <fgColor rgb="FFFEF9E7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2E75B6"/>
      </bottom>
      <diagonal/>
    </border>
    <border>
      <left/>
      <right style="thin">
        <color auto="1"/>
      </right>
      <top/>
      <bottom style="medium">
        <color rgb="FF2E75B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" fontId="8" fillId="6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" fontId="8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" fontId="8" fillId="11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164" fontId="11" fillId="1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1" fontId="8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1" fontId="8" fillId="14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164" fontId="11" fillId="12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1" fontId="8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1" fontId="8" fillId="17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164" fontId="11" fillId="15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164" fontId="1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0" fontId="21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164" fontId="5" fillId="18" borderId="9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left" vertical="top" wrapText="1"/>
    </xf>
    <xf numFmtId="0" fontId="25" fillId="14" borderId="1" applyAlignment="1" pivotButton="0" quotePrefix="0" xfId="0">
      <alignment horizontal="left" vertical="top" wrapText="1"/>
    </xf>
    <xf numFmtId="0" fontId="25" fillId="17" borderId="1" applyAlignment="1" pivotButton="0" quotePrefix="0" xfId="0">
      <alignment horizontal="left" vertical="top" wrapText="1"/>
    </xf>
    <xf numFmtId="0" fontId="25" fillId="27" borderId="1" applyAlignment="1" pivotButton="0" quotePrefix="0" xfId="0">
      <alignment horizontal="left" vertical="top" wrapText="1"/>
    </xf>
    <xf numFmtId="0" fontId="25" fillId="28" borderId="1" applyAlignment="1" pivotButton="0" quotePrefix="0" xfId="0">
      <alignment horizontal="left" vertical="top" wrapText="1"/>
    </xf>
    <xf numFmtId="0" fontId="6" fillId="9" borderId="8" applyAlignment="1" pivotButton="0" quotePrefix="0" xfId="0">
      <alignment horizontal="left" vertical="center" wrapText="1"/>
    </xf>
    <xf numFmtId="0" fontId="6" fillId="9" borderId="1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right" vertical="center" wrapText="1"/>
    </xf>
    <xf numFmtId="164" fontId="11" fillId="18" borderId="1" applyAlignment="1" pivotButton="0" quotePrefix="0" xfId="0">
      <alignment horizontal="center" vertical="center" wrapText="1"/>
    </xf>
    <xf numFmtId="164" fontId="11" fillId="18" borderId="5" applyAlignment="1" pivotButton="0" quotePrefix="0" xfId="0">
      <alignment horizontal="center" vertical="center" wrapText="1"/>
    </xf>
    <xf numFmtId="0" fontId="22" fillId="8" borderId="6" applyAlignment="1" pivotButton="0" quotePrefix="0" xfId="0">
      <alignment horizontal="left" vertical="center" wrapText="1"/>
    </xf>
    <xf numFmtId="0" fontId="22" fillId="8" borderId="7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right" vertical="center" wrapText="1"/>
    </xf>
    <xf numFmtId="0" fontId="20" fillId="4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24" fillId="13" borderId="8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8" fillId="10" borderId="8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left" vertical="center" wrapText="1"/>
    </xf>
    <xf numFmtId="0" fontId="4" fillId="5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right" vertical="center" wrapText="1"/>
    </xf>
    <xf numFmtId="0" fontId="5" fillId="1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right" vertical="center" wrapText="1"/>
    </xf>
    <xf numFmtId="0" fontId="4" fillId="1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10" pivotButton="0" quotePrefix="0" xfId="0"/>
    <xf numFmtId="0" fontId="0" fillId="8" borderId="0" pivotButton="0" quotePrefix="0" xfId="0"/>
    <xf numFmtId="0" fontId="26" fillId="0" borderId="2" pivotButton="0" quotePrefix="0" xfId="0"/>
    <xf numFmtId="0" fontId="4" fillId="5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2" pivotButton="0" quotePrefix="0" xfId="0"/>
    <xf numFmtId="0" fontId="4" fillId="5" borderId="5" applyAlignment="1" pivotButton="0" quotePrefix="0" xfId="0">
      <alignment horizontal="right" vertical="center" wrapText="1"/>
    </xf>
    <xf numFmtId="0" fontId="0" fillId="0" borderId="2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6" topLeftCell="A20" activePane="bottomLeft" state="frozen"/>
      <selection pane="bottomLeft" activeCell="I24" sqref="I24"/>
    </sheetView>
  </sheetViews>
  <sheetFormatPr baseColWidth="8" defaultColWidth="9.140625" defaultRowHeight="15"/>
  <cols>
    <col width="26" customWidth="1" style="107" min="1" max="1"/>
    <col width="28" customWidth="1" style="107" min="2" max="2"/>
    <col width="52" customWidth="1" style="107" min="3" max="3"/>
    <col width="9" customWidth="1" style="107" min="4" max="4"/>
    <col width="12" customWidth="1" style="107" min="5" max="6"/>
    <col width="14" customWidth="1" style="107" min="7" max="7"/>
  </cols>
  <sheetData>
    <row r="1" ht="35.1" customHeight="1" s="107">
      <c r="A1" s="81" t="inlineStr">
        <is>
          <t>GRILLE DE VALIDATION — PHASE 5</t>
        </is>
      </c>
      <c r="B1" s="101" t="n"/>
      <c r="C1" s="101" t="n"/>
      <c r="D1" s="101" t="n"/>
      <c r="E1" s="101" t="n"/>
      <c r="F1" s="101" t="n"/>
      <c r="G1" s="102" t="n"/>
    </row>
    <row r="2" ht="18" customHeight="1" s="107">
      <c r="A2" s="92" t="inlineStr">
        <is>
          <t>Conteneurisation et deploiement sur Kubernetes / Infrastructure Cloud</t>
        </is>
      </c>
      <c r="B2" s="101" t="n"/>
      <c r="C2" s="101" t="n"/>
      <c r="D2" s="101" t="n"/>
      <c r="E2" s="101" t="n"/>
      <c r="F2" s="101" t="n"/>
      <c r="G2" s="102" t="n"/>
    </row>
    <row r="3" ht="15.95" customHeight="1" s="107">
      <c r="A3" s="84" t="inlineStr">
        <is>
          <t>Classe :</t>
        </is>
      </c>
      <c r="B3" s="102" t="n"/>
      <c r="C3" s="84" t="inlineStr">
        <is>
          <t>Groupe :</t>
        </is>
      </c>
      <c r="D3" s="102" t="n"/>
      <c r="E3" s="84" t="inlineStr">
        <is>
          <t>Date :</t>
        </is>
      </c>
      <c r="F3" s="101" t="n"/>
      <c r="G3" s="102" t="n"/>
    </row>
    <row r="4" ht="15.95" customHeight="1" s="107">
      <c r="A4" s="84" t="inlineStr">
        <is>
          <t>Projet :</t>
        </is>
      </c>
      <c r="B4" s="102" t="n"/>
      <c r="C4" s="84" t="inlineStr">
        <is>
          <t>Jury :</t>
        </is>
      </c>
      <c r="D4" s="102" t="n"/>
      <c r="E4" s="84" t="inlineStr">
        <is>
          <t>Signature :</t>
        </is>
      </c>
      <c r="F4" s="101" t="n"/>
      <c r="G4" s="102" t="n"/>
    </row>
    <row r="5"/>
    <row r="6" ht="38.1" customHeight="1" s="107">
      <c r="A6" s="1" t="inlineStr">
        <is>
          <t>Categorie</t>
        </is>
      </c>
      <c r="B6" s="1" t="inlineStr">
        <is>
          <t>Critere</t>
        </is>
      </c>
      <c r="C6" s="1" t="inlineStr">
        <is>
          <t>Description detaillee / Sous-criteres</t>
        </is>
      </c>
      <c r="D6" s="1" t="inlineStr">
        <is>
          <t>Max
(points)</t>
        </is>
      </c>
      <c r="E6" s="1" t="inlineStr">
        <is>
          <t>Note
(0-Max)</t>
        </is>
      </c>
      <c r="F6" s="1" t="inlineStr">
        <is>
          <t>Commentaire</t>
        </is>
      </c>
    </row>
    <row r="7" ht="20.1" customHeight="1" s="107">
      <c r="A7" s="94" t="inlineStr">
        <is>
          <t xml:space="preserve">  1. CONTENEURISATION  (5 pts)</t>
        </is>
      </c>
      <c r="B7" s="101" t="n"/>
      <c r="C7" s="101" t="n"/>
      <c r="D7" s="101" t="n"/>
      <c r="E7" s="101" t="n"/>
      <c r="F7" s="102" t="n"/>
    </row>
    <row r="8" ht="126" customHeight="1" s="107">
      <c r="A8" s="111" t="inlineStr">
        <is>
          <t>1. CONTENEURISATION</t>
        </is>
      </c>
      <c r="B8" s="2" t="inlineStr">
        <is>
          <t>Creation de conteneurs separes</t>
        </is>
      </c>
      <c r="C8" s="3" t="inlineStr">
        <is>
          <t xml:space="preserve">• Dockerfile separe pour le Frontend
• Dockerfile separe pour le Backend
• Conteneur separe pour la base de donnees (PostgreSQL / MySQL)
• Chaque service possede sa propre image
★ Build multi-stage : etape de build separee de l'etape runtime
★ Build multi-stage : taille finale de l'image fortement reduite
</t>
        </is>
      </c>
      <c r="D8" s="4" t="n">
        <v>3</v>
      </c>
      <c r="E8" s="5" t="n"/>
      <c r="F8" s="6" t="n"/>
    </row>
    <row r="9" ht="60" customHeight="1" s="107">
      <c r="A9" s="112" t="n"/>
      <c r="B9" s="54" t="inlineStr">
        <is>
          <t>Communication entre conteneurs</t>
        </is>
      </c>
      <c r="C9" s="8" t="inlineStr">
        <is>
          <t>• Reseau Docker configure
• Les services communiquent correctement (Frontend -&gt; Backend -&gt; BD)
• Aucune erreur de connexion a l'execution</t>
        </is>
      </c>
      <c r="D9" s="9" t="n">
        <v>2</v>
      </c>
      <c r="E9" s="5" t="n"/>
      <c r="F9" s="6" t="n"/>
    </row>
    <row r="10" ht="60" customHeight="1" s="107">
      <c r="A10" s="113" t="n"/>
      <c r="B10" s="53" t="inlineStr">
        <is>
          <t>Images Docker sur Docker Hub</t>
        </is>
      </c>
      <c r="C10" s="8" t="inlineStr">
        <is>
          <t>• Les images sont construites et poussees vers le registre Docker Hub.
• Les images des conteneurs sont stockees sur Docker Hub.</t>
        </is>
      </c>
      <c r="D10" s="9" t="n">
        <v>1</v>
      </c>
      <c r="E10" s="5" t="n"/>
      <c r="F10" s="6" t="n"/>
    </row>
    <row r="11" ht="20.1" customHeight="1" s="107">
      <c r="A11" s="114" t="inlineStr">
        <is>
          <t>SOUS-TOTAL — 1. CONTENEURISATION</t>
        </is>
      </c>
      <c r="B11" s="103" t="n"/>
      <c r="C11" s="104" t="n"/>
      <c r="D11" s="10" t="n">
        <v>5</v>
      </c>
      <c r="E11" s="11">
        <f>E8+E9</f>
        <v/>
      </c>
      <c r="F11" s="88" t="n"/>
    </row>
    <row r="12" ht="20.1" customHeight="1" s="107">
      <c r="A12" s="86" t="inlineStr">
        <is>
          <t xml:space="preserve">  2. DEPLOIEMENT KUBERNETES  (8 pts)  </t>
        </is>
      </c>
      <c r="B12" s="101" t="n"/>
      <c r="C12" s="101" t="n"/>
      <c r="D12" s="101" t="n"/>
      <c r="E12" s="101" t="n"/>
      <c r="F12" s="102" t="n"/>
    </row>
    <row r="13" ht="60" customHeight="1" s="107">
      <c r="A13" s="82" t="inlineStr">
        <is>
          <t>2. DEPLOIEMENT KUBERNETES</t>
        </is>
      </c>
      <c r="B13" s="12" t="inlineStr">
        <is>
          <t>Manifests Kubernetes</t>
        </is>
      </c>
      <c r="C13" s="13" t="inlineStr">
        <is>
          <t>• Fichiers YAML valides (Deployment, Service, ConfigMap, Secret)
• Organisation claire et structuree
• Bonne separation des ressources par service</t>
        </is>
      </c>
      <c r="D13" s="14" t="n">
        <v>2</v>
      </c>
      <c r="E13" s="5" t="n"/>
      <c r="F13" s="6" t="n"/>
    </row>
    <row r="14" ht="60" customHeight="1" s="107">
      <c r="A14" s="105" t="n"/>
      <c r="B14" s="7" t="inlineStr">
        <is>
          <t>Deploiement des services</t>
        </is>
      </c>
      <c r="C14" s="8" t="inlineStr">
        <is>
          <t>• Pods fonctionnels (etat Running)
• Communication inter-services fonctionnelle
• Aucun crash (CrashLoopBackOff)</t>
        </is>
      </c>
      <c r="D14" s="9" t="n">
        <v>2</v>
      </c>
      <c r="E14" s="5" t="n"/>
      <c r="F14" s="6" t="n"/>
    </row>
    <row r="15" ht="60" customHeight="1" s="107">
      <c r="A15" s="105" t="n"/>
      <c r="B15" s="12" t="inlineStr">
        <is>
          <t>Exposition de l'application</t>
        </is>
      </c>
      <c r="C15" s="13" t="inlineStr">
        <is>
          <t>• Service (ClusterIP / LoadBalancer) configure
• Acces externe fonctionnel et teste</t>
        </is>
      </c>
      <c r="D15" s="14" t="n">
        <v>2</v>
      </c>
      <c r="E15" s="5" t="n"/>
      <c r="F15" s="6" t="n"/>
    </row>
    <row r="16" ht="60" customHeight="1" s="107">
      <c r="A16" s="105" t="n"/>
      <c r="B16" s="7" t="inlineStr">
        <is>
          <t>Gestion de la configuration</t>
        </is>
      </c>
      <c r="C16" s="8" t="inlineStr">
        <is>
          <t>• Utilisation de ConfigMap pour les configurations non sensibles
• Utilisation de Secrets pour les donnees sensibles
• Separation claire entre configuration et code</t>
        </is>
      </c>
      <c r="D16" s="9" t="n">
        <v>1</v>
      </c>
      <c r="E16" s="5" t="n"/>
      <c r="F16" s="6" t="n"/>
    </row>
    <row r="17" ht="60" customHeight="1" s="107">
      <c r="A17" s="106" t="n"/>
      <c r="B17" s="12" t="inlineStr">
        <is>
          <t>Scalabilite et haute disponibilite</t>
        </is>
      </c>
      <c r="C17" s="13" t="inlineStr">
        <is>
          <t>• Autoscaling active (bonus si HPA configure)</t>
        </is>
      </c>
      <c r="D17" s="14" t="n">
        <v>1</v>
      </c>
      <c r="E17" s="5" t="n"/>
      <c r="F17" s="6" t="n"/>
    </row>
    <row r="18" ht="20.1" customHeight="1" s="107">
      <c r="A18" s="87" t="inlineStr">
        <is>
          <t>SOUS-TOTAL — 2. DEPLOIEMENT KUBERNETES</t>
        </is>
      </c>
      <c r="B18" s="101" t="n"/>
      <c r="C18" s="102" t="n"/>
      <c r="D18" s="15" t="n">
        <v>8</v>
      </c>
      <c r="E18" s="16">
        <f>E13+E14+E15+E16+E17</f>
        <v/>
      </c>
      <c r="F18" s="85" t="n"/>
    </row>
    <row r="19" ht="20.1" customHeight="1" s="107">
      <c r="A19" s="83" t="inlineStr">
        <is>
          <t xml:space="preserve">  3. INFRASTRUCTURE ET ACCES  (3 pts)    </t>
        </is>
      </c>
      <c r="B19" s="101" t="n"/>
      <c r="C19" s="101" t="n"/>
      <c r="D19" s="101" t="n"/>
      <c r="E19" s="101" t="n"/>
      <c r="F19" s="102" t="n"/>
    </row>
    <row r="20" ht="60" customHeight="1" s="107">
      <c r="A20" s="79" t="inlineStr">
        <is>
          <t>3. INFRASTRUCTURE ET ACCES</t>
        </is>
      </c>
      <c r="B20" s="17" t="inlineStr">
        <is>
          <t>Deploiement sur infrastructure (OpenStack)</t>
        </is>
      </c>
      <c r="C20" s="18" t="inlineStr">
        <is>
          <t>• Deploiement reussi sur l'environnement OpenStack
• Cluster Kubernetes stable et accessible
• Acces a l'infrastructure securise et fonctionnel</t>
        </is>
      </c>
      <c r="D20" s="19" t="n">
        <v>2</v>
      </c>
      <c r="E20" s="5" t="n"/>
      <c r="F20" s="6" t="n"/>
    </row>
    <row r="21" ht="60" customHeight="1" s="107">
      <c r="A21" s="106" t="n"/>
      <c r="B21" s="20" t="inlineStr">
        <is>
          <t>Acces a l'application</t>
        </is>
      </c>
      <c r="C21" s="21" t="inlineStr">
        <is>
          <t>• URL accessible
• Application fonctionnelle (frontend + backend)
• Aucune erreur critique lors de l'acces</t>
        </is>
      </c>
      <c r="D21" s="22" t="n">
        <v>1</v>
      </c>
      <c r="E21" s="5" t="n"/>
      <c r="F21" s="6" t="n"/>
    </row>
    <row r="22" ht="20.1" customHeight="1" s="107">
      <c r="A22" s="99" t="inlineStr">
        <is>
          <t>SOUS-TOTAL — 3. INFRASTRUCTURE ET ACCES</t>
        </is>
      </c>
      <c r="B22" s="101" t="n"/>
      <c r="C22" s="102" t="n"/>
      <c r="D22" s="23" t="n">
        <v>3</v>
      </c>
      <c r="E22" s="24">
        <f>E20+E21</f>
        <v/>
      </c>
      <c r="F22" s="93" t="n"/>
    </row>
    <row r="23" ht="20.1" customHeight="1" s="107">
      <c r="A23" s="97" t="inlineStr">
        <is>
          <t xml:space="preserve">  4. EXCELLENCE / BONUS  (2 pts)</t>
        </is>
      </c>
      <c r="B23" s="101" t="n"/>
      <c r="C23" s="101" t="n"/>
      <c r="D23" s="101" t="n"/>
      <c r="E23" s="101" t="n"/>
      <c r="F23" s="102" t="n"/>
    </row>
    <row r="24" ht="89.25" customHeight="1" s="107">
      <c r="A24" s="100" t="inlineStr">
        <is>
          <t>4. EXCELLENCE / BONUS</t>
        </is>
      </c>
      <c r="B24" s="25" t="inlineStr">
        <is>
          <t>Deploiement avance</t>
        </is>
      </c>
      <c r="C24" s="26" t="inlineStr">
        <is>
          <t xml:space="preserve">• Deploiement hybride avec justification de la strategie de deploiement OU
• Deploiement reussi d'une application microservices avec au moins 3 microservices OU
• Pipeline CI/CD (GitHub Actions, GitLab CI, Jenkins...) OU
• Definition de limites de ressources (CPU, RAM, stockage) pour optimiser l'utilisation des pods </t>
        </is>
      </c>
      <c r="D24" s="27" t="n">
        <v>2</v>
      </c>
      <c r="E24" s="5" t="n"/>
      <c r="F24" s="6" t="n"/>
    </row>
    <row r="25" ht="60" customHeight="1" s="107">
      <c r="A25" s="106" t="n"/>
      <c r="B25" s="28" t="inlineStr">
        <is>
          <t>Innovation / IA / Observabilite</t>
        </is>
      </c>
      <c r="C25" s="29" t="inlineStr">
        <is>
          <t>• Integration IA (monitoring intelligent, analyse des logs...)
• Outils d'observabilite (Prometheus, Grafana, ELK Stack)
• Tableaux de bord personnalises ou alertes intelligentes</t>
        </is>
      </c>
      <c r="D25" s="30" t="n">
        <v>1</v>
      </c>
      <c r="E25" s="5" t="n"/>
      <c r="F25" s="6" t="n"/>
    </row>
    <row r="26" ht="20.1" customHeight="1" s="107">
      <c r="A26" s="80" t="inlineStr">
        <is>
          <t>SOUS-TOTAL — 4. EXCELLENCE / BONUS</t>
        </is>
      </c>
      <c r="B26" s="101" t="n"/>
      <c r="C26" s="102" t="n"/>
      <c r="D26" s="31" t="n">
        <v>3</v>
      </c>
      <c r="E26" s="32">
        <f>E24+E25</f>
        <v/>
      </c>
      <c r="F26" s="78" t="n"/>
    </row>
    <row r="27" ht="27.95" customHeight="1" s="107">
      <c r="A27" s="96" t="inlineStr">
        <is>
          <t>NOTE TOTALE DU GROUPE</t>
        </is>
      </c>
      <c r="B27" s="101" t="n"/>
      <c r="C27" s="102" t="n"/>
      <c r="D27" s="33" t="n">
        <v>20</v>
      </c>
      <c r="E27" s="34">
        <f>E8+E9+E10+E13+E14+E15+E16+E17+E20+E21+E24+E25</f>
        <v/>
      </c>
      <c r="F27" s="35" t="inlineStr">
        <is>
          <t>/ 20</t>
        </is>
      </c>
    </row>
    <row r="28"/>
    <row r="29" ht="18" customHeight="1" s="107">
      <c r="A29" s="77" t="inlineStr">
        <is>
          <t>OBSERVATIONS DU JURY</t>
        </is>
      </c>
      <c r="B29" s="101" t="n"/>
      <c r="C29" s="101" t="n"/>
      <c r="D29" s="101" t="n"/>
      <c r="E29" s="101" t="n"/>
      <c r="F29" s="102" t="n"/>
    </row>
    <row r="30" ht="14.1" customHeight="1" s="107">
      <c r="A30" s="98" t="inlineStr">
        <is>
          <t>Points forts :</t>
        </is>
      </c>
      <c r="B30" s="101" t="n"/>
      <c r="C30" s="101" t="n"/>
      <c r="D30" s="101" t="n"/>
      <c r="E30" s="101" t="n"/>
      <c r="F30" s="102" t="n"/>
    </row>
    <row r="31" ht="36" customHeight="1" s="107">
      <c r="A31" s="76" t="n"/>
      <c r="B31" s="101" t="n"/>
      <c r="C31" s="101" t="n"/>
      <c r="D31" s="101" t="n"/>
      <c r="E31" s="101" t="n"/>
      <c r="F31" s="102" t="n"/>
    </row>
    <row r="32" ht="14.1" customHeight="1" s="107">
      <c r="A32" s="98" t="inlineStr">
        <is>
          <t>Axes d'amelioration :</t>
        </is>
      </c>
      <c r="B32" s="101" t="n"/>
      <c r="C32" s="101" t="n"/>
      <c r="D32" s="101" t="n"/>
      <c r="E32" s="101" t="n"/>
      <c r="F32" s="102" t="n"/>
    </row>
    <row r="33" ht="36" customHeight="1" s="107">
      <c r="A33" s="76" t="n"/>
      <c r="B33" s="101" t="n"/>
      <c r="C33" s="101" t="n"/>
      <c r="D33" s="101" t="n"/>
      <c r="E33" s="101" t="n"/>
      <c r="F33" s="102" t="n"/>
    </row>
    <row r="34" ht="14.1" customHeight="1" s="107">
      <c r="A34" s="98" t="inlineStr">
        <is>
          <t>Commentaires generaux :</t>
        </is>
      </c>
      <c r="B34" s="101" t="n"/>
      <c r="C34" s="101" t="n"/>
      <c r="D34" s="101" t="n"/>
      <c r="E34" s="101" t="n"/>
      <c r="F34" s="102" t="n"/>
    </row>
    <row r="35" ht="36" customHeight="1" s="107">
      <c r="A35" s="76" t="n"/>
      <c r="B35" s="101" t="n"/>
      <c r="C35" s="101" t="n"/>
      <c r="D35" s="101" t="n"/>
      <c r="E35" s="101" t="n"/>
      <c r="F35" s="102" t="n"/>
    </row>
  </sheetData>
  <mergeCells count="32">
    <mergeCell ref="A24:A25"/>
    <mergeCell ref="A8:A10"/>
    <mergeCell ref="A18:C18"/>
    <mergeCell ref="A27:C27"/>
    <mergeCell ref="A12:F12"/>
    <mergeCell ref="A26:C26"/>
    <mergeCell ref="C4:D4"/>
    <mergeCell ref="A33:F33"/>
    <mergeCell ref="A23:F23"/>
    <mergeCell ref="A32:F32"/>
    <mergeCell ref="A22:C22"/>
    <mergeCell ref="F11"/>
    <mergeCell ref="A35:F35"/>
    <mergeCell ref="A13:A17"/>
    <mergeCell ref="A3:B3"/>
    <mergeCell ref="A29:F29"/>
    <mergeCell ref="A1:G1"/>
    <mergeCell ref="A19:F19"/>
    <mergeCell ref="A31:F31"/>
    <mergeCell ref="A20:A21"/>
    <mergeCell ref="A34:F34"/>
    <mergeCell ref="E3:G3"/>
    <mergeCell ref="A30:F30"/>
    <mergeCell ref="F18"/>
    <mergeCell ref="A4:B4"/>
    <mergeCell ref="A11:C11"/>
    <mergeCell ref="F26"/>
    <mergeCell ref="A2:G2"/>
    <mergeCell ref="E4:G4"/>
    <mergeCell ref="C3:D3"/>
    <mergeCell ref="F22"/>
    <mergeCell ref="A7:F7"/>
  </mergeCells>
  <dataValidations count="3">
    <dataValidation sqref="E8" showDropDown="0" showInputMessage="0" showErrorMessage="1" allowBlank="0" errorTitle="Invalid score" error="Score must be between 0 and 3" type="decimal">
      <formula1>0</formula1>
      <formula2>3</formula2>
    </dataValidation>
    <dataValidation sqref="E9:E10 E13:E14" showDropDown="0" showInputMessage="0" showErrorMessage="1" allowBlank="0" errorTitle="Invalid score" error="Score must be between 0 and 2" type="decimal">
      <formula1>0</formula1>
      <formula2>2</formula2>
    </dataValidation>
    <dataValidation sqref="E15:E17 E20:E21 E24:E25" showDropDown="0" showInputMessage="0" showErrorMessage="1" allowBlank="0" errorTitle="Invalid score" error="Score must be between 0 and 1" type="decimal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tabSelected="1" workbookViewId="0">
      <pane ySplit="7" topLeftCell="A8" activePane="bottomLeft" state="frozen"/>
      <selection pane="bottomLeft" activeCell="B8" sqref="B8"/>
    </sheetView>
  </sheetViews>
  <sheetFormatPr baseColWidth="8" defaultColWidth="9.140625" defaultRowHeight="15"/>
  <cols>
    <col width="28.28515625" customWidth="1" style="107" min="1" max="1"/>
    <col width="22.85546875" customWidth="1" style="107" min="2" max="2"/>
    <col width="20.28515625" customWidth="1" style="107" min="3" max="3"/>
    <col width="18.28515625" customWidth="1" style="107" min="4" max="4"/>
    <col width="21.85546875" customWidth="1" style="107" min="5" max="5"/>
    <col width="20.7109375" customWidth="1" style="107" min="6" max="6"/>
    <col width="13" customWidth="1" style="107" min="7" max="7"/>
    <col width="17.28515625" customWidth="1" style="107" min="8" max="8"/>
    <col width="14.7109375" customWidth="1" style="107" min="9" max="9"/>
    <col width="12" customWidth="1" style="107" min="10" max="10"/>
    <col width="9" customWidth="1" style="107" min="11" max="11"/>
    <col width="12" customWidth="1" style="107" min="12" max="13"/>
  </cols>
  <sheetData>
    <row r="1" ht="33.95" customHeight="1" s="107">
      <c r="A1" s="70" t="inlineStr">
        <is>
          <t>TABLEAU D'EVALUATION INDIVIDUELLE DES ETUDIANTS — PHASE 5</t>
        </is>
      </c>
      <c r="B1" s="101" t="n"/>
      <c r="C1" s="101" t="n"/>
      <c r="D1" s="101" t="n"/>
      <c r="E1" s="101" t="n"/>
      <c r="F1" s="101" t="n"/>
      <c r="G1" s="101" t="n"/>
      <c r="H1" s="101" t="n"/>
      <c r="I1" s="102" t="n"/>
    </row>
    <row r="2" ht="15" customHeight="1" s="107">
      <c r="A2" s="62" t="inlineStr">
        <is>
          <t>Conteneurisation et deploiement sur Kubernetes  |  Chaque competence notee /4 pts  |  Total individuel /20  |  Note de groupe /20</t>
        </is>
      </c>
      <c r="B2" s="101" t="n"/>
      <c r="C2" s="101" t="n"/>
      <c r="D2" s="101" t="n"/>
      <c r="E2" s="101" t="n"/>
      <c r="F2" s="101" t="n"/>
      <c r="G2" s="101" t="n"/>
      <c r="H2" s="101" t="n"/>
      <c r="I2" s="102" t="n"/>
    </row>
    <row r="3" ht="15" customHeight="1" s="107">
      <c r="A3" s="63" t="inlineStr">
        <is>
          <t>Classe :</t>
        </is>
      </c>
      <c r="B3" s="101" t="n"/>
      <c r="C3" s="102" t="n"/>
      <c r="D3" s="101" t="n"/>
      <c r="E3" s="101" t="n"/>
      <c r="F3" s="101" t="n"/>
      <c r="G3" s="64" t="inlineStr">
        <is>
          <t>Jury :</t>
        </is>
      </c>
      <c r="H3" s="101" t="n"/>
      <c r="I3" s="102" t="n"/>
    </row>
    <row r="4" ht="6" customHeight="1" s="107"/>
    <row r="5" ht="14.1" customHeight="1" s="107">
      <c r="A5" s="68" t="inlineStr">
        <is>
          <t>GUIDE DES NIVEAUX  -&gt;   Faible = 0.5 pt   |   Moyen = 1 pt   |   Bon = 2 pts   |   Excellent = 4 pts</t>
        </is>
      </c>
      <c r="B5" s="101" t="n"/>
      <c r="C5" s="101" t="n"/>
      <c r="D5" s="101" t="n"/>
      <c r="E5" s="101" t="n"/>
      <c r="F5" s="101" t="n"/>
      <c r="G5" s="101" t="n"/>
      <c r="H5" s="101" t="n"/>
      <c r="I5" s="102" t="n"/>
    </row>
    <row r="6" ht="21.95" customHeight="1" s="107">
      <c r="A6" s="1" t="inlineStr">
        <is>
          <t>Nom de
l'etudiant</t>
        </is>
      </c>
      <c r="B6" s="61" t="inlineStr">
        <is>
          <t>Niveau de competence evalue (5 criteres)</t>
        </is>
      </c>
      <c r="C6" s="101" t="n"/>
      <c r="D6" s="101" t="n"/>
      <c r="E6" s="101" t="n"/>
      <c r="F6" s="102" t="n"/>
      <c r="G6" s="41" t="inlineStr">
        <is>
          <t>Total indiv.
(/20)</t>
        </is>
      </c>
      <c r="H6" s="69" t="inlineStr">
        <is>
          <t>Note groupe
(/20)</t>
        </is>
      </c>
      <c r="I6" s="115" t="n"/>
    </row>
    <row r="7" ht="64.5" customHeight="1" s="107">
      <c r="A7" s="36" t="n"/>
      <c r="B7" s="46" t="inlineStr">
        <is>
          <t>Maitrise de la
conteneurisation
(/4)</t>
        </is>
      </c>
      <c r="C7" s="47" t="inlineStr">
        <is>
          <t>Choix de la methode
de deploiement
(/4)</t>
        </is>
      </c>
      <c r="D7" s="45" t="inlineStr">
        <is>
          <t>Implementation du deploiement
(K8s/Cloud) (/4)</t>
        </is>
      </c>
      <c r="E7" s="44" t="inlineStr">
        <is>
          <t>Monitoring / Observabilite et bonnes
pratiques de securite (/4)</t>
        </is>
      </c>
      <c r="F7" s="43" t="inlineStr">
        <is>
          <t>Analyse des problemes
et solutions (/4)</t>
        </is>
      </c>
      <c r="G7" s="41" t="n"/>
      <c r="H7" s="69" t="n"/>
      <c r="I7" s="115" t="n"/>
    </row>
    <row r="8" ht="21.95" customHeight="1" s="107">
      <c r="A8" s="38" t="inlineStr">
        <is>
          <t>Etudiant 1</t>
        </is>
      </c>
      <c r="B8" s="37" t="n"/>
      <c r="C8" s="37" t="n"/>
      <c r="D8" s="37" t="n"/>
      <c r="E8" s="37" t="n"/>
      <c r="F8" s="37" t="n"/>
      <c r="G8" s="42">
        <f>IFERROR(ROUND((IF(B8="Faible (0.5)",0.5,IF(B8="Moyen (1)",1,IF(B8="Bon (2)",2,IF(B8="Excellent (4)",4,0))))+IF(C8="Faible (0.5)",0.5,IF(C8="Moyen (1)",1,IF(C8="Bon (2)",2,IF(C8="Excellent (4)",4,0))))+IF(D8="Faible (0.5)",0.5,IF(D8="Moyen (1)",1,IF(D8="Bon (2)",2,IF(D8="Excellent (4)",4,0))))+IF(E8="Faible (0.5)",0.5,IF(E8="Moyen (1)",1,IF(E8="Bon (2)",2,IF(E8="Excellent (4)",4,0))))+IF(F8="Faible (0.5)",0.5,IF(F8="Moyen (1)",1,IF(F8="Bon (2)",2,IF(F8="Excellent (4)",4,0)))))/20*20,1),"—")</f>
        <v/>
      </c>
      <c r="H8" s="67">
        <f>'Note Groupe'!E27</f>
        <v/>
      </c>
      <c r="I8" s="115" t="n"/>
    </row>
    <row r="9" ht="21.95" customHeight="1" s="107">
      <c r="A9" s="39" t="inlineStr">
        <is>
          <t>Etudiant 2</t>
        </is>
      </c>
      <c r="B9" s="37" t="n"/>
      <c r="C9" s="37" t="n"/>
      <c r="D9" s="37" t="n"/>
      <c r="E9" s="37" t="n"/>
      <c r="F9" s="37" t="n"/>
      <c r="G9" s="42">
        <f>IFERROR(ROUND((IF(B9="Faible (0.5)",0.5,IF(B9="Moyen (1)",1,IF(B9="Bon (2)",2,IF(B9="Excellent (4)",4,0))))+IF(C9="Faible (0.5)",0.5,IF(C9="Moyen (1)",1,IF(C9="Bon (2)",2,IF(C9="Excellent (4)",4,0))))+IF(D9="Faible (0.5)",0.5,IF(D9="Moyen (1)",1,IF(D9="Bon (2)",2,IF(D9="Excellent (4)",4,0))))+IF(E9="Faible (0.5)",0.5,IF(E9="Moyen (1)",1,IF(E9="Bon (2)",2,IF(E9="Excellent (4)",4,0))))+IF(F9="Faible (0.5)",0.5,IF(F9="Moyen (1)",1,IF(F9="Bon (2)",2,IF(F9="Excellent (4)",4,0)))))/20*20,1),"—")</f>
        <v/>
      </c>
      <c r="H9" s="67">
        <f>'Note Groupe'!E27</f>
        <v/>
      </c>
      <c r="I9" s="115" t="n"/>
    </row>
    <row r="10" ht="21.95" customHeight="1" s="107">
      <c r="A10" s="38" t="inlineStr">
        <is>
          <t>Etudiant 3</t>
        </is>
      </c>
      <c r="B10" s="37" t="n"/>
      <c r="C10" s="37" t="n"/>
      <c r="D10" s="37" t="n"/>
      <c r="E10" s="37" t="n"/>
      <c r="F10" s="37" t="n"/>
      <c r="G10" s="42">
        <f>IFERROR(ROUND((IF(B10="Faible (0.5)",0.5,IF(B10="Moyen (1)",1,IF(B10="Bon (2)",2,IF(B10="Excellent (4)",4,0))))+IF(C10="Faible (0.5)",0.5,IF(C10="Moyen (1)",1,IF(C10="Bon (2)",2,IF(C10="Excellent (4)",4,0))))+IF(D10="Faible (0.5)",0.5,IF(D10="Moyen (1)",1,IF(D10="Bon (2)",2,IF(D10="Excellent (4)",4,0))))+IF(E10="Faible (0.5)",0.5,IF(E10="Moyen (1)",1,IF(E10="Bon (2)",2,IF(E10="Excellent (4)",4,0))))+IF(F10="Faible (0.5)",0.5,IF(F10="Moyen (1)",1,IF(F10="Bon (2)",2,IF(F10="Excellent (4)",4,0)))))/20*20,1),"—")</f>
        <v/>
      </c>
      <c r="H10" s="67">
        <f>'Note Groupe'!E27</f>
        <v/>
      </c>
      <c r="I10" s="115" t="n"/>
    </row>
    <row r="11" ht="21.95" customHeight="1" s="107">
      <c r="A11" s="39" t="inlineStr">
        <is>
          <t>Etudiant 4</t>
        </is>
      </c>
      <c r="B11" s="37" t="n"/>
      <c r="C11" s="37" t="n"/>
      <c r="D11" s="37" t="n"/>
      <c r="E11" s="37" t="n"/>
      <c r="F11" s="37" t="n"/>
      <c r="G11" s="42">
        <f>IFERROR(ROUND((IF(B11="Faible (0.5)",0.5,IF(B11="Moyen (1)",1,IF(B11="Bon (2)",2,IF(B11="Excellent (4)",4,0))))+IF(C11="Faible (0.5)",0.5,IF(C11="Moyen (1)",1,IF(C11="Bon (2)",2,IF(C11="Excellent (4)",4,0))))+IF(D11="Faible (0.5)",0.5,IF(D11="Moyen (1)",1,IF(D11="Bon (2)",2,IF(D11="Excellent (4)",4,0))))+IF(E11="Faible (0.5)",0.5,IF(E11="Moyen (1)",1,IF(E11="Bon (2)",2,IF(E11="Excellent (4)",4,0))))+IF(F11="Faible (0.5)",0.5,IF(F11="Moyen (1)",1,IF(F11="Bon (2)",2,IF(F11="Excellent (4)",4,0)))))/20*20,1),"—")</f>
        <v/>
      </c>
      <c r="H11" s="67">
        <f>'Note Groupe'!E27</f>
        <v/>
      </c>
      <c r="I11" s="115" t="n"/>
    </row>
    <row r="12" ht="21.95" customHeight="1" s="107">
      <c r="A12" s="38" t="inlineStr">
        <is>
          <t>Etudiant 5</t>
        </is>
      </c>
      <c r="B12" s="37" t="n"/>
      <c r="C12" s="37" t="n"/>
      <c r="D12" s="37" t="n"/>
      <c r="E12" s="37" t="n"/>
      <c r="F12" s="37" t="n"/>
      <c r="G12" s="42">
        <f>IFERROR(ROUND((IF(B12="Faible (0.5)",0.5,IF(B12="Moyen (1)",1,IF(B12="Bon (2)",2,IF(B12="Excellent (4)",4,0))))+IF(C12="Faible (0.5)",0.5,IF(C12="Moyen (1)",1,IF(C12="Bon (2)",2,IF(C12="Excellent (4)",4,0))))+IF(D12="Faible (0.5)",0.5,IF(D12="Moyen (1)",1,IF(D12="Bon (2)",2,IF(D12="Excellent (4)",4,0))))+IF(E12="Faible (0.5)",0.5,IF(E12="Moyen (1)",1,IF(E12="Bon (2)",2,IF(E12="Excellent (4)",4,0))))+IF(F12="Faible (0.5)",0.5,IF(F12="Moyen (1)",1,IF(F12="Bon (2)",2,IF(F12="Excellent (4)",4,0)))))/20*20,1),"—")</f>
        <v/>
      </c>
      <c r="H12" s="67">
        <f>'Note Groupe'!E27</f>
        <v/>
      </c>
      <c r="I12" s="115" t="n"/>
    </row>
    <row r="13" ht="21.95" customHeight="1" s="107">
      <c r="A13" s="39" t="inlineStr">
        <is>
          <t>Etudiant 6</t>
        </is>
      </c>
      <c r="B13" s="37" t="n"/>
      <c r="C13" s="37" t="n"/>
      <c r="D13" s="37" t="n"/>
      <c r="E13" s="37" t="n"/>
      <c r="F13" s="37" t="n"/>
      <c r="G13" s="42">
        <f>IFERROR(ROUND((IF(B13="Faible (0.5)",0.5,IF(B13="Moyen (1)",1,IF(B13="Bon (2)",2,IF(B13="Excellent (4)",4,0))))+IF(C13="Faible (0.5)",0.5,IF(C13="Moyen (1)",1,IF(C13="Bon (2)",2,IF(C13="Excellent (4)",4,0))))+IF(D13="Faible (0.5)",0.5,IF(D13="Moyen (1)",1,IF(D13="Bon (2)",2,IF(D13="Excellent (4)",4,0))))+IF(E13="Faible (0.5)",0.5,IF(E13="Moyen (1)",1,IF(E13="Bon (2)",2,IF(E13="Excellent (4)",4,0))))+IF(F13="Faible (0.5)",0.5,IF(F13="Moyen (1)",1,IF(F13="Bon (2)",2,IF(F13="Excellent (4)",4,0)))))/20*20,1),"—")</f>
        <v/>
      </c>
      <c r="H13" s="67">
        <f>'Note Groupe'!E27</f>
        <v/>
      </c>
      <c r="I13" s="115" t="n"/>
    </row>
    <row r="14" ht="21.95" customHeight="1" s="107">
      <c r="A14" s="38" t="inlineStr">
        <is>
          <t>Etudiant 7</t>
        </is>
      </c>
      <c r="B14" s="37" t="n"/>
      <c r="C14" s="37" t="n"/>
      <c r="D14" s="37" t="n"/>
      <c r="E14" s="37" t="n"/>
      <c r="F14" s="37" t="n"/>
      <c r="G14" s="42">
        <f>IFERROR(ROUND((IF(B14="Faible (0.5)",0.5,IF(B14="Moyen (1)",1,IF(B14="Bon (2)",2,IF(B14="Excellent (4)",4,0))))+IF(C14="Faible (0.5)",0.5,IF(C14="Moyen (1)",1,IF(C14="Bon (2)",2,IF(C14="Excellent (4)",4,0))))+IF(D14="Faible (0.5)",0.5,IF(D14="Moyen (1)",1,IF(D14="Bon (2)",2,IF(D14="Excellent (4)",4,0))))+IF(E14="Faible (0.5)",0.5,IF(E14="Moyen (1)",1,IF(E14="Bon (2)",2,IF(E14="Excellent (4)",4,0))))+IF(F14="Faible (0.5)",0.5,IF(F14="Moyen (1)",1,IF(F14="Bon (2)",2,IF(F14="Excellent (4)",4,0)))))/20*20,1),"—")</f>
        <v/>
      </c>
      <c r="H14" s="67">
        <f>'Note Groupe'!E27</f>
        <v/>
      </c>
      <c r="I14" s="115" t="n"/>
    </row>
    <row r="15" ht="21.95" customHeight="1" s="107">
      <c r="A15" s="56" t="inlineStr">
        <is>
          <t>MOYENNE DE LA CLASSE</t>
        </is>
      </c>
      <c r="B15" s="101" t="n"/>
      <c r="C15" s="101" t="n"/>
      <c r="D15" s="101" t="n"/>
      <c r="E15" s="101" t="n"/>
      <c r="F15" s="101" t="n"/>
      <c r="G15" s="101" t="n"/>
      <c r="H15" s="101" t="n"/>
      <c r="I15" s="102" t="n"/>
    </row>
    <row r="16" ht="9.949999999999999" customHeight="1" s="107"/>
    <row r="17" ht="45.95" customHeight="1" s="107">
      <c r="A17" s="60" t="inlineStr">
        <is>
          <t>EVALUATION DES COMPETENCES INDIVIDUELLES</t>
        </is>
      </c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17" t="n"/>
    </row>
    <row r="18" ht="84.95" customHeight="1" s="107">
      <c r="A18" s="40" t="inlineStr">
        <is>
          <t>Competence</t>
        </is>
      </c>
      <c r="B18" s="72" t="inlineStr">
        <is>
          <t>Faible (0.5 pt)</t>
        </is>
      </c>
      <c r="C18" s="102" t="n"/>
      <c r="D18" s="73" t="inlineStr">
        <is>
          <t>Moyen (1 pt)</t>
        </is>
      </c>
      <c r="E18" s="102" t="n"/>
      <c r="F18" s="74" t="inlineStr">
        <is>
          <t>Bon (2 pts)</t>
        </is>
      </c>
      <c r="G18" s="102" t="n"/>
      <c r="H18" s="75" t="inlineStr">
        <is>
          <t>Excellent (4 pts)</t>
        </is>
      </c>
      <c r="I18" s="102" t="n"/>
    </row>
    <row r="19" ht="84.95" customHeight="1" s="107">
      <c r="A19" s="48" t="inlineStr">
        <is>
          <t>Maitrise des methodes
et etapes de conteneurisation</t>
        </is>
      </c>
      <c r="B19" s="55" t="inlineStr">
        <is>
          <t>• Ne comprend pas le Dockerfile, confusion image/conteneur</t>
        </is>
      </c>
      <c r="C19" s="102" t="n"/>
      <c r="D19" s="55" t="inlineStr">
        <is>
          <t>• Comprehension partielle (Dockerfile, layers)</t>
        </is>
      </c>
      <c r="E19" s="102" t="n"/>
      <c r="F19" s="55" t="inlineStr">
        <is>
          <t>• Explique build, run, reseau, multi-conteneurs</t>
        </is>
      </c>
      <c r="G19" s="102" t="n"/>
      <c r="H19" s="55" t="inlineStr">
        <is>
          <t>• Maitrise avancee : multi-stage, optimisation, securite</t>
        </is>
      </c>
      <c r="I19" s="102" t="n"/>
    </row>
    <row r="20" ht="84.95" customHeight="1" s="107">
      <c r="A20" s="49" t="inlineStr">
        <is>
          <t>Choix de la methode de deploiement
et capacite a justifier</t>
        </is>
      </c>
      <c r="B20" s="55" t="inlineStr">
        <is>
          <t>• Incapable de justifier le choix</t>
        </is>
      </c>
      <c r="C20" s="102" t="n"/>
      <c r="D20" s="55" t="inlineStr">
        <is>
          <t>• Justification vague</t>
        </is>
      </c>
      <c r="E20" s="102" t="n"/>
      <c r="F20" s="55" t="inlineStr">
        <is>
          <t>• Justification correcte selon le besoin</t>
        </is>
      </c>
      <c r="G20" s="102" t="n"/>
      <c r="H20" s="55" t="inlineStr">
        <is>
          <t>• Analyse comparative avancee + choix optimal</t>
        </is>
      </c>
      <c r="I20" s="102" t="n"/>
    </row>
    <row r="21" ht="84.95" customHeight="1" s="107">
      <c r="A21" s="50" t="inlineStr">
        <is>
          <t>Capacite a analyser les problemes
et trouver des solutions</t>
        </is>
      </c>
      <c r="B21" s="55" t="inlineStr">
        <is>
          <t>• Ne sait pas diagnostiquer</t>
        </is>
      </c>
      <c r="C21" s="102" t="n"/>
      <c r="D21" s="55" t="inlineStr">
        <is>
          <t>• Identifie sans resoudre</t>
        </is>
      </c>
      <c r="E21" s="102" t="n"/>
      <c r="F21" s="55" t="inlineStr">
        <is>
          <t>• Resout la majorite des problemes</t>
        </is>
      </c>
      <c r="G21" s="102" t="n"/>
      <c r="H21" s="55" t="inlineStr">
        <is>
          <t>• Demarche structuree + solutions optimales</t>
        </is>
      </c>
      <c r="I21" s="102" t="n"/>
    </row>
    <row r="22" ht="84.95" customHeight="1" s="107">
      <c r="A22" s="51" t="inlineStr">
        <is>
          <t>Implementation du deploiement
(Kubernetes / Cloud)</t>
        </is>
      </c>
      <c r="B22" s="55" t="inlineStr">
        <is>
          <t>• Ne comprend pas Pod/Service</t>
        </is>
      </c>
      <c r="C22" s="102" t="n"/>
      <c r="D22" s="55" t="inlineStr">
        <is>
          <t>• Comprehension partielle</t>
        </is>
      </c>
      <c r="E22" s="102" t="n"/>
      <c r="F22" s="55" t="inlineStr">
        <is>
          <t>• Explique Deployment, Service, scaling</t>
        </is>
      </c>
      <c r="G22" s="102" t="n"/>
      <c r="H22" s="55" t="inlineStr">
        <is>
          <t>• Maitrise avancee (Ingress, ConfigMap, architecture complete)</t>
        </is>
      </c>
      <c r="I22" s="102" t="n"/>
      <c r="J22">
        <f>SUM(J19:J21)</f>
        <v/>
      </c>
    </row>
    <row r="23" ht="81.75" customHeight="1" s="107">
      <c r="A23" s="52" t="inlineStr">
        <is>
          <t>Monitoring / Observabilite
et bonnes pratiques de securite</t>
        </is>
      </c>
      <c r="B23" s="55" t="inlineStr">
        <is>
          <t>• Ne connait ni monitoring ni securite</t>
        </is>
      </c>
      <c r="C23" s="102" t="n"/>
      <c r="D23" s="55" t="inlineStr">
        <is>
          <t>• Connaissances basiques (logs ou variables d'environnement)</t>
        </is>
      </c>
      <c r="E23" s="102" t="n"/>
      <c r="F23" s="55" t="inlineStr">
        <is>
          <t>• Explique logs, metriques + bonnes pratiques de securite</t>
        </is>
      </c>
      <c r="G23" s="102" t="n"/>
      <c r="H23" s="55" t="inlineStr">
        <is>
          <t>• Maitrise complete : observabilite (logs, metriques, alerting) + securite (RBAC, secrets, non-root, network policies)</t>
        </is>
      </c>
      <c r="I23" s="102" t="n"/>
    </row>
    <row r="24" ht="15.95" customHeight="1" s="107">
      <c r="A24" s="71" t="inlineStr">
        <is>
          <t>★  MODE D'EMPLOI : Cliquez sur la cellule jaune de note -&gt; selectionnez le niveau (0.5 / 1 / 2 / 4) -&gt; le total se met a jour automatiquement.</t>
        </is>
      </c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2" t="n"/>
    </row>
  </sheetData>
  <mergeCells count="45">
    <mergeCell ref="D20:E20"/>
    <mergeCell ref="H20:I20"/>
    <mergeCell ref="A17:J17"/>
    <mergeCell ref="H10:I10"/>
    <mergeCell ref="D19:E19"/>
    <mergeCell ref="F19:G19"/>
    <mergeCell ref="B22:C22"/>
    <mergeCell ref="A3:C3"/>
    <mergeCell ref="D22:E22"/>
    <mergeCell ref="G3:I3"/>
    <mergeCell ref="B18:C18"/>
    <mergeCell ref="H9:I9"/>
    <mergeCell ref="D21:E21"/>
    <mergeCell ref="F21:G21"/>
    <mergeCell ref="B21:C21"/>
    <mergeCell ref="H21:I21"/>
    <mergeCell ref="A2:I2"/>
    <mergeCell ref="H6:I6"/>
    <mergeCell ref="A5:I5"/>
    <mergeCell ref="F20:G20"/>
    <mergeCell ref="F18:G18"/>
    <mergeCell ref="B23:C23"/>
    <mergeCell ref="D3:F3"/>
    <mergeCell ref="A24:J24"/>
    <mergeCell ref="A4:I4"/>
    <mergeCell ref="H11:I11"/>
    <mergeCell ref="B19:C19"/>
    <mergeCell ref="H7:I7"/>
    <mergeCell ref="F23:G23"/>
    <mergeCell ref="H19:I19"/>
    <mergeCell ref="F22:G22"/>
    <mergeCell ref="D18:E18"/>
    <mergeCell ref="H22:I22"/>
    <mergeCell ref="H13:I13"/>
    <mergeCell ref="H14:I14"/>
    <mergeCell ref="A15:I15"/>
    <mergeCell ref="H12:I12"/>
    <mergeCell ref="B6:F6"/>
    <mergeCell ref="B20:C20"/>
    <mergeCell ref="H18:I18"/>
    <mergeCell ref="D23:E23"/>
    <mergeCell ref="A1:I1"/>
    <mergeCell ref="H23:I23"/>
    <mergeCell ref="H8:I8"/>
    <mergeCell ref="A16:I16"/>
  </mergeCells>
  <dataValidations count="3">
    <dataValidation sqref="B8:D14" showDropDown="0" showInputMessage="0" showErrorMessage="1" allowBlank="0" errorTitle="Invalid level" error="Please select: Weak (0.5), Average (1), Good (2), or Excellent (4)" type="list">
      <formula1>"Faible (0.5),Moyen (1),Bon (2),Excellent (4)"</formula1>
    </dataValidation>
    <dataValidation sqref="E8:F14" showDropDown="0" showInputMessage="0" showErrorMessage="1" allowBlank="0" errorTitle="Invalid" error="Select: Weak (0.5), Average (1), Good (2), Excellent (4)" type="list">
      <formula1>"Faible (0.5),Moyen (1),Bon (2),Excellent (4)"</formula1>
    </dataValidation>
    <dataValidation sqref="J19:J21" showDropDown="0" showInputMessage="0" showErrorMessage="1" allowBlank="0" errorTitle="Invalid score" error="Enter: 0.5 (Weak), 1 (Average), 2 (Good), or 4 (Excellent)" type="list">
      <formula1>"0.5,1,2,4"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2026-05-03T14:04:08Z</dcterms:created>
  <dcterms:modified xmlns:dcterms="http://purl.org/dc/terms/" xmlns:xsi="http://www.w3.org/2001/XMLSchema-instance" xsi:type="dcterms:W3CDTF">2026-05-10T16:27:34Z</dcterms:modified>
</cp:coreProperties>
</file>