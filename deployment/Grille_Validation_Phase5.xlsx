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D:\working\waccache\MR1PEPF00009B7F\EXCELCNV\5d75bafa-6844-4cde-95bf-0a1656a94343\"/>
    </mc:Choice>
  </mc:AlternateContent>
  <xr:revisionPtr revIDLastSave="0" documentId="8_{FF306915-B06B-4EF5-824E-DD8686F0B9CF}" xr6:coauthVersionLast="47" xr6:coauthVersionMax="47" xr10:uidLastSave="{00000000-0000-0000-0000-000000000000}"/>
  <bookViews>
    <workbookView xWindow="-60" yWindow="-60" windowWidth="15480" windowHeight="11640" firstSheet="1" activeTab="1" xr2:uid="{00000000-000D-0000-FFFF-FFFF00000000}"/>
  </bookViews>
  <sheets>
    <sheet name="Group Score" sheetId="1" r:id="rId1"/>
    <sheet name="Individual Sco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2" i="1"/>
  <c r="E18" i="1"/>
  <c r="J22" i="2"/>
  <c r="G14" i="2"/>
  <c r="G13" i="2"/>
  <c r="G12" i="2"/>
  <c r="G11" i="2"/>
  <c r="G10" i="2"/>
  <c r="G9" i="2"/>
  <c r="G8" i="2"/>
  <c r="G15" i="2" s="1"/>
  <c r="E26" i="1"/>
  <c r="E11" i="1"/>
  <c r="H14" i="2" l="1"/>
  <c r="H13" i="2"/>
  <c r="H12" i="2"/>
  <c r="H11" i="2"/>
  <c r="H10" i="2"/>
  <c r="H9" i="2"/>
  <c r="H8" i="2"/>
  <c r="H15" i="2" s="1"/>
</calcChain>
</file>

<file path=xl/sharedStrings.xml><?xml version="1.0" encoding="utf-8"?>
<sst xmlns="http://schemas.openxmlformats.org/spreadsheetml/2006/main" count="110" uniqueCount="108">
  <si>
    <t>VALIDATION GRID — PHASE 5</t>
  </si>
  <si>
    <t>Containerization &amp; Deployment on Kubernetes / Cloud Infrastructure</t>
  </si>
  <si>
    <t>Class:</t>
  </si>
  <si>
    <t>Group:</t>
  </si>
  <si>
    <t>Date:</t>
  </si>
  <si>
    <t>Project:</t>
  </si>
  <si>
    <t>Jury:</t>
  </si>
  <si>
    <t>Signature:</t>
  </si>
  <si>
    <t>Category</t>
  </si>
  <si>
    <t>Criterion</t>
  </si>
  <si>
    <t>Detailed Description / Sub-criteria</t>
  </si>
  <si>
    <t>Max
(pts)</t>
  </si>
  <si>
    <t>Score
(0–Max)</t>
  </si>
  <si>
    <t>Comment</t>
  </si>
  <si>
    <t xml:space="preserve">  1. CONTAINERIZATION  (5 pts)</t>
  </si>
  <si>
    <t>1. CONTAINERIZATION</t>
  </si>
  <si>
    <t>Creation of separate containers</t>
  </si>
  <si>
    <t xml:space="preserve">• Separate Dockerfile for Frontend
• Separate Dockerfile for Backend
• Separate container for DB (PostgreSQL / MySQL)
• Each service has its own image
★ Multi-stage build: build stage vs runtime stage separated
★ Multi-stage build: final image size significantly reduced
</t>
  </si>
  <si>
    <t>Inter-container communication</t>
  </si>
  <si>
    <t>• Docker network configured
• Services communicate correctly (Frontend → Backend → DB)
• No connection errors at runtime</t>
  </si>
  <si>
    <t>Docker images on Docker Hub</t>
  </si>
  <si>
    <t>• Images are built and pushed to Docker Hub registry.
• Container images are stored on Docker Hub.</t>
  </si>
  <si>
    <t>SUBTOTAL — 1. CONTAINERIZATION</t>
  </si>
  <si>
    <t xml:space="preserve">  2. KUBERNETES DEPLOYMENT  (8 pts)  </t>
  </si>
  <si>
    <t>2. KUBERNETES DEPLOYMENT</t>
  </si>
  <si>
    <t>Kubernetes Manifests</t>
  </si>
  <si>
    <t>• Valid YAML files (Deployment, Service, ConfigMap, Secret)
• Clear and structured organization
• Good separation of resources per service</t>
  </si>
  <si>
    <t>Service Deployment</t>
  </si>
  <si>
    <t>• Functional pods (Running state)
• Inter-service communication working
• No crashes (CrashLoopBackOff)</t>
  </si>
  <si>
    <t>Application Exposure</t>
  </si>
  <si>
    <t>• Service (clusterip / LoadBalancer) configured
• External access functional and tested</t>
  </si>
  <si>
    <t>Configuration Management</t>
  </si>
  <si>
    <t>• Use of ConfigMap for non-sensitive configs
• Use of Secrets for sensitive data
• Clear separation of config / code</t>
  </si>
  <si>
    <t>Scalability &amp; High Availability</t>
  </si>
  <si>
    <t>• Auto-scaling enabled (bonus if HPA configured)</t>
  </si>
  <si>
    <t>SUBTOTAL — 2. KUBERNETES DEPLOYMENT</t>
  </si>
  <si>
    <t xml:space="preserve">  3. INFRASTRUCTURE &amp; ACCESS  (3 pts)    </t>
  </si>
  <si>
    <t>3. INFRASTRUCTURE &amp; ACCESS</t>
  </si>
  <si>
    <t>Deployment on Infrastructure (OpenStack)</t>
  </si>
  <si>
    <t>• Successful deployment on OpenStack environment
• Stable and accessible Kubernetes cluster
• Secure and functional infrastructure access</t>
  </si>
  <si>
    <t>Application Access</t>
  </si>
  <si>
    <t>• Accessible URL
• Functional application (frontend + backend)
• No critical errors at access</t>
  </si>
  <si>
    <t>SUBTOTAL — 3. INFRASTRUCTURE &amp; ACCESS</t>
  </si>
  <si>
    <t xml:space="preserve">  4. EXCELLENCE / BONUS  (2 pts)</t>
  </si>
  <si>
    <t>4. EXCELLENCE / BONUS</t>
  </si>
  <si>
    <t>Advanced Deployment</t>
  </si>
  <si>
    <t xml:space="preserve">• Hybrid deployment with justification of the deployment strategy Or
• Successful deployment of a microservices-based application at least 3 micro services Or
• CI/CD pipeline (GitHub Actions, GitLab CI, Jenkins…)  OR                             • Setting resource limits (CPU, RAM, storage) for pods to optimize resource usage </t>
  </si>
  <si>
    <t>Innovation / AI / Observability</t>
  </si>
  <si>
    <t>• AI integration (smart monitoring, log analysis…)
• Observability tools (Prometheus, Grafana, ELK Stack)
• Custom dashboards or intelligent alerting</t>
  </si>
  <si>
    <t>SUBTOTAL — 4. EXCELLENCE / BONUS</t>
  </si>
  <si>
    <t>TOTAL GROUP SCORE</t>
  </si>
  <si>
    <t>/ 20</t>
  </si>
  <si>
    <t>JURY OBSERVATIONS</t>
  </si>
  <si>
    <t>Strengths:</t>
  </si>
  <si>
    <t>Areas for improvement:</t>
  </si>
  <si>
    <t>General comments:</t>
  </si>
  <si>
    <t>INDIVIDUAL STUDENT EVALUATION TABLE — PHASE 5</t>
  </si>
  <si>
    <t>Containerization &amp; Deployment on Kubernetes  |  Each competency scored /4 pts  |  Individual Total /20  |  Group Score /20</t>
  </si>
  <si>
    <t>LEVEL GUIDE  →   Weak = 0.5 pt   |   Average = 1 pt   |   Good = 2 pts   |   Excellent = 4 pts</t>
  </si>
  <si>
    <t>Student
Name</t>
  </si>
  <si>
    <t>Competency Level Assessed (5 criteria)</t>
  </si>
  <si>
    <t>Indiv. Total
(/20)</t>
  </si>
  <si>
    <t>Group Score
(/20)</t>
  </si>
  <si>
    <t>Mastery of
Containerization
(/4)</t>
  </si>
  <si>
    <t>Deployment
Method Choice
(/4)</t>
  </si>
  <si>
    <t>Deployment Impl.
(K8s/Cloud) (/4)</t>
  </si>
  <si>
    <t>Monitoring / Observability &amp; Security 
Best Practices (/4)</t>
  </si>
  <si>
    <t>Problem Analysis
&amp; Solutions (/4)</t>
  </si>
  <si>
    <t>Student 1</t>
  </si>
  <si>
    <t>Student 2</t>
  </si>
  <si>
    <t>Student 3</t>
  </si>
  <si>
    <t>Student 4</t>
  </si>
  <si>
    <t>Student 5</t>
  </si>
  <si>
    <t>Student 6</t>
  </si>
  <si>
    <t>Student 7</t>
  </si>
  <si>
    <t>CLASS AVERAGE</t>
  </si>
  <si>
    <t>INDIVIDUAL COMPETENCY ASSESSMENT</t>
  </si>
  <si>
    <t>Competency</t>
  </si>
  <si>
    <t>Weak (0.5 pt)</t>
  </si>
  <si>
    <t>Average (1 pt)</t>
  </si>
  <si>
    <t>Good (2 pts)</t>
  </si>
  <si>
    <t>Excellent (4 pts)</t>
  </si>
  <si>
    <t>Mastery of containerization
methods and steps</t>
  </si>
  <si>
    <t>• Ne comprend pas Dockerfile, confusion image/container</t>
  </si>
  <si>
    <t>• Compréhension partielle (Dockerfile, layers)</t>
  </si>
  <si>
    <t>• Explique build, run, réseau, multi-container</t>
  </si>
  <si>
    <t>• Maîtrise avancée : multi-stage, optimisation, sécurité</t>
  </si>
  <si>
    <t>Choice of deployment method
&amp; ability to justify</t>
  </si>
  <si>
    <t>• Incapable de justifier le choix</t>
  </si>
  <si>
    <t>• Justification vague</t>
  </si>
  <si>
    <t>• Justification correcte selon besoin</t>
  </si>
  <si>
    <t>• Analyse comparative avancée + choix optimal</t>
  </si>
  <si>
    <t>Ability to analyze problems
and find solutions</t>
  </si>
  <si>
    <t>• Ne sait pas diagnostiquer</t>
  </si>
  <si>
    <t>• Identifie sans résoudre</t>
  </si>
  <si>
    <t>• Résout la majorité des problèmes</t>
  </si>
  <si>
    <t>• Démarche structurée + solutions optimales</t>
  </si>
  <si>
    <t>Deployment Implementation
(Kubernetes / Cloud)</t>
  </si>
  <si>
    <t>• Ne comprend pas Pod/Service</t>
  </si>
  <si>
    <t>• Compréhension partielle</t>
  </si>
  <si>
    <t>• Explique Deployment, Service, scaling</t>
  </si>
  <si>
    <t>• Maîtrise avancée (Ingress, ConfigMap, architecture complète)</t>
  </si>
  <si>
    <t>Monitoring / Observability
&amp; Security Best Practices</t>
  </si>
  <si>
    <t>• Ne connaît ni monitoring ni sécurité</t>
  </si>
  <si>
    <t>• Connaissances basiques (logs ou env variables)</t>
  </si>
  <si>
    <t>• Explique logs, métriques + bonnes pratiques sécurité</t>
  </si>
  <si>
    <t>• Maîtrise complète : observabilité (logs, metrics, alerting) + sécurité (RBAC, secrets, non-root, network policies)</t>
  </si>
  <si>
    <t>★  HOW TO USE: Click the yellow Score cell → select the level (0.5 / 1 / 2 / 4) → the total updates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</si>
</sst>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1"/>
      <color rgb="FF1F3864"/>
      <name val="Arial"/>
    </font>
    <font>
      <b/>
      <sz val="10"/>
      <color rgb="FF1F3864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9"/>
      <color rgb="FF222222"/>
      <name val="Arial"/>
    </font>
    <font>
      <b/>
      <sz val="11"/>
      <color rgb="FF1F3864"/>
      <name val="Arial"/>
    </font>
    <font>
      <sz val="11"/>
      <color rgb="FF000000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sz val="10"/>
      <color rgb="FFFFFFFF"/>
      <name val="Arial"/>
    </font>
    <font>
      <b/>
      <sz val="13"/>
      <color rgb="FFFFFFFF"/>
      <name val="Arial"/>
    </font>
    <font>
      <b/>
      <sz val="14"/>
      <color rgb="FFFFF2CC"/>
      <name val="Arial"/>
    </font>
    <font>
      <sz val="10"/>
      <color rgb="FF000000"/>
      <name val="Arial"/>
    </font>
    <font>
      <b/>
      <sz val="16"/>
      <color rgb="FFFFFFFF"/>
      <name val="Arial"/>
    </font>
    <font>
      <i/>
      <sz val="9"/>
      <color rgb="FF1F3864"/>
      <name val="Arial"/>
    </font>
    <font>
      <b/>
      <sz val="9"/>
      <color rgb="FFFFFFFF"/>
      <name val="Arial"/>
    </font>
    <font>
      <i/>
      <sz val="9"/>
      <color rgb="FF444444"/>
      <name val="Arial"/>
    </font>
    <font>
      <b/>
      <sz val="9"/>
      <color rgb="FF1F3864"/>
      <name val="Arial"/>
    </font>
    <font>
      <sz val="10"/>
      <color rgb="FF333333"/>
      <name val="Arial"/>
    </font>
    <font>
      <b/>
      <sz val="18"/>
      <color rgb="FF1F3864"/>
      <name val="Arial"/>
    </font>
    <font>
      <sz val="12"/>
      <color rgb="FF000000"/>
      <name val="Arial"/>
    </font>
    <font>
      <sz val="11"/>
      <color rgb="FF1E5631"/>
      <name val="Arial"/>
    </font>
    <font>
      <b/>
      <sz val="12"/>
      <color rgb="FF1F3864"/>
      <name val="Arial"/>
    </font>
    <font>
      <sz val="12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A5276"/>
      </patternFill>
    </fill>
    <fill>
      <patternFill patternType="solid">
        <fgColor rgb="FFD4E6F1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154360"/>
      </patternFill>
    </fill>
    <fill>
      <patternFill patternType="solid">
        <fgColor rgb="FFD6EAF8"/>
      </patternFill>
    </fill>
    <fill>
      <patternFill patternType="solid">
        <fgColor rgb="FF145A32"/>
      </patternFill>
    </fill>
    <fill>
      <patternFill patternType="solid">
        <fgColor rgb="FFD5F5E3"/>
      </patternFill>
    </fill>
    <fill>
      <patternFill patternType="solid">
        <fgColor rgb="FFEAFAF1"/>
      </patternFill>
    </fill>
    <fill>
      <patternFill patternType="solid">
        <fgColor rgb="FF7B241C"/>
      </patternFill>
    </fill>
    <fill>
      <patternFill patternType="solid">
        <fgColor rgb="FFFAD7D7"/>
      </patternFill>
    </fill>
    <fill>
      <patternFill patternType="solid">
        <fgColor rgb="FFFDEDEC"/>
      </patternFill>
    </fill>
    <fill>
      <patternFill patternType="solid">
        <fgColor rgb="FF2E75B6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27AE60"/>
      </patternFill>
    </fill>
    <fill>
      <patternFill patternType="solid">
        <fgColor rgb="FFF0F6FC"/>
      </patternFill>
    </fill>
    <fill>
      <patternFill patternType="solid">
        <fgColor rgb="FF2E4057"/>
      </patternFill>
    </fill>
    <fill>
      <patternFill patternType="solid">
        <fgColor rgb="FFF9F9F9"/>
      </patternFill>
    </fill>
    <fill>
      <patternFill patternType="solid">
        <fgColor rgb="FF6C3483"/>
      </patternFill>
    </fill>
    <fill>
      <patternFill patternType="solid">
        <fgColor rgb="FF784212"/>
      </patternFill>
    </fill>
    <fill>
      <patternFill patternType="solid">
        <fgColor rgb="FFF4ECF7"/>
      </patternFill>
    </fill>
    <fill>
      <patternFill patternType="solid">
        <fgColor rgb="FFFEF9E7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2E75B6"/>
      </bottom>
      <diagonal/>
    </border>
    <border>
      <left/>
      <right style="thin">
        <color auto="1"/>
      </right>
      <top/>
      <bottom style="medium">
        <color rgb="FF2E75B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1" fontId="8" fillId="6" borderId="1" xfId="0" applyNumberFormat="1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1" fontId="8" fillId="9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1" fontId="8" fillId="11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164" fontId="11" fillId="10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1" fontId="8" fillId="13" borderId="1" xfId="0" applyNumberFormat="1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1" fontId="8" fillId="14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164" fontId="11" fillId="12" borderId="1" xfId="0" applyNumberFormat="1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center" wrapText="1"/>
    </xf>
    <xf numFmtId="1" fontId="8" fillId="16" borderId="1" xfId="0" applyNumberFormat="1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1" fontId="8" fillId="17" borderId="1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164" fontId="11" fillId="15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4" fontId="1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1" fillId="22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164" fontId="5" fillId="18" borderId="9" xfId="0" applyNumberFormat="1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left" vertical="top" wrapText="1"/>
    </xf>
    <xf numFmtId="0" fontId="25" fillId="14" borderId="1" xfId="0" applyFont="1" applyFill="1" applyBorder="1" applyAlignment="1">
      <alignment horizontal="left" vertical="top" wrapText="1"/>
    </xf>
    <xf numFmtId="0" fontId="25" fillId="17" borderId="1" xfId="0" applyFont="1" applyFill="1" applyBorder="1" applyAlignment="1">
      <alignment horizontal="left" vertical="top" wrapText="1"/>
    </xf>
    <xf numFmtId="0" fontId="25" fillId="27" borderId="1" xfId="0" applyFont="1" applyFill="1" applyBorder="1" applyAlignment="1">
      <alignment horizontal="left" vertical="top" wrapText="1"/>
    </xf>
    <xf numFmtId="0" fontId="25" fillId="28" borderId="1" xfId="0" applyFont="1" applyFill="1" applyBorder="1" applyAlignment="1">
      <alignment horizontal="left" vertical="top" wrapText="1"/>
    </xf>
    <xf numFmtId="0" fontId="6" fillId="9" borderId="8" xfId="0" applyFont="1" applyFill="1" applyBorder="1" applyAlignment="1">
      <alignment horizontal="left" vertical="center" wrapText="1"/>
    </xf>
    <xf numFmtId="0" fontId="6" fillId="9" borderId="1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right" vertical="center" wrapText="1"/>
    </xf>
    <xf numFmtId="164" fontId="11" fillId="18" borderId="1" xfId="0" applyNumberFormat="1" applyFont="1" applyFill="1" applyBorder="1" applyAlignment="1">
      <alignment horizontal="center" vertical="center" wrapText="1"/>
    </xf>
    <xf numFmtId="164" fontId="11" fillId="18" borderId="5" xfId="0" applyNumberFormat="1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left" vertical="center" wrapText="1"/>
    </xf>
    <xf numFmtId="0" fontId="22" fillId="8" borderId="7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righ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164" fontId="24" fillId="13" borderId="8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8" fillId="10" borderId="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0" fillId="24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righ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2" xfId="0" applyBorder="1" applyAlignment="1"/>
    <xf numFmtId="0" fontId="0" fillId="0" borderId="13" xfId="0" applyBorder="1" applyAlignment="1"/>
    <xf numFmtId="0" fontId="0" fillId="0" borderId="16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0" xfId="0" applyAlignment="1"/>
    <xf numFmtId="0" fontId="0" fillId="0" borderId="10" xfId="0" applyBorder="1" applyAlignment="1"/>
    <xf numFmtId="0" fontId="0" fillId="8" borderId="0" xfId="0" applyFill="1" applyAlignment="1"/>
    <xf numFmtId="0" fontId="26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workbookViewId="0">
      <pane ySplit="6" topLeftCell="A20" activePane="bottomLeft" state="frozen"/>
      <selection pane="bottomLeft" activeCell="I24" sqref="I24"/>
    </sheetView>
  </sheetViews>
  <sheetFormatPr defaultColWidth="9.140625" defaultRowHeight="15"/>
  <cols>
    <col min="1" max="1" width="26" customWidth="1"/>
    <col min="2" max="2" width="28" customWidth="1"/>
    <col min="3" max="3" width="52" customWidth="1"/>
    <col min="4" max="4" width="9" customWidth="1"/>
    <col min="5" max="6" width="12" customWidth="1"/>
    <col min="7" max="7" width="14" customWidth="1"/>
  </cols>
  <sheetData>
    <row r="1" spans="1:7" ht="35.1" customHeight="1">
      <c r="A1" s="81" t="s">
        <v>0</v>
      </c>
      <c r="B1" s="101"/>
      <c r="C1" s="101"/>
      <c r="D1" s="101"/>
      <c r="E1" s="101"/>
      <c r="F1" s="101"/>
      <c r="G1" s="102"/>
    </row>
    <row r="2" spans="1:7" ht="18" customHeight="1">
      <c r="A2" s="92" t="s">
        <v>1</v>
      </c>
      <c r="B2" s="101"/>
      <c r="C2" s="101"/>
      <c r="D2" s="101"/>
      <c r="E2" s="101"/>
      <c r="F2" s="101"/>
      <c r="G2" s="102"/>
    </row>
    <row r="3" spans="1:7" ht="15.95" customHeight="1">
      <c r="A3" s="84" t="s">
        <v>2</v>
      </c>
      <c r="B3" s="102"/>
      <c r="C3" s="84" t="s">
        <v>3</v>
      </c>
      <c r="D3" s="102"/>
      <c r="E3" s="84" t="s">
        <v>4</v>
      </c>
      <c r="F3" s="101"/>
      <c r="G3" s="102"/>
    </row>
    <row r="4" spans="1:7" ht="15.95" customHeight="1">
      <c r="A4" s="84" t="s">
        <v>5</v>
      </c>
      <c r="B4" s="102"/>
      <c r="C4" s="84" t="s">
        <v>6</v>
      </c>
      <c r="D4" s="102"/>
      <c r="E4" s="84" t="s">
        <v>7</v>
      </c>
      <c r="F4" s="101"/>
      <c r="G4" s="102"/>
    </row>
    <row r="6" spans="1:7" ht="38.1" customHeight="1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</row>
    <row r="7" spans="1:7" ht="20.100000000000001" customHeight="1">
      <c r="A7" s="94" t="s">
        <v>14</v>
      </c>
      <c r="B7" s="101"/>
      <c r="C7" s="101"/>
      <c r="D7" s="101"/>
      <c r="E7" s="101"/>
      <c r="F7" s="102"/>
    </row>
    <row r="8" spans="1:7" ht="126" customHeight="1">
      <c r="A8" s="89" t="s">
        <v>15</v>
      </c>
      <c r="B8" s="2" t="s">
        <v>16</v>
      </c>
      <c r="C8" s="3" t="s">
        <v>17</v>
      </c>
      <c r="D8" s="4">
        <v>3</v>
      </c>
      <c r="E8" s="5"/>
      <c r="F8" s="6"/>
    </row>
    <row r="9" spans="1:7" ht="60" customHeight="1">
      <c r="A9" s="90"/>
      <c r="B9" s="54" t="s">
        <v>18</v>
      </c>
      <c r="C9" s="8" t="s">
        <v>19</v>
      </c>
      <c r="D9" s="9">
        <v>2</v>
      </c>
      <c r="E9" s="5"/>
      <c r="F9" s="6"/>
    </row>
    <row r="10" spans="1:7" ht="60" customHeight="1">
      <c r="A10" s="91"/>
      <c r="B10" s="53" t="s">
        <v>20</v>
      </c>
      <c r="C10" s="8" t="s">
        <v>21</v>
      </c>
      <c r="D10" s="9">
        <v>1</v>
      </c>
      <c r="E10" s="5"/>
      <c r="F10" s="6"/>
    </row>
    <row r="11" spans="1:7" ht="20.100000000000001" customHeight="1">
      <c r="A11" s="95" t="s">
        <v>22</v>
      </c>
      <c r="B11" s="103"/>
      <c r="C11" s="104"/>
      <c r="D11" s="10">
        <v>5</v>
      </c>
      <c r="E11" s="11">
        <f>E8+E9</f>
        <v>0</v>
      </c>
      <c r="F11" s="88"/>
    </row>
    <row r="12" spans="1:7" ht="20.100000000000001" customHeight="1">
      <c r="A12" s="86" t="s">
        <v>23</v>
      </c>
      <c r="B12" s="101"/>
      <c r="C12" s="101"/>
      <c r="D12" s="101"/>
      <c r="E12" s="101"/>
      <c r="F12" s="102"/>
    </row>
    <row r="13" spans="1:7" ht="60" customHeight="1">
      <c r="A13" s="82" t="s">
        <v>24</v>
      </c>
      <c r="B13" s="12" t="s">
        <v>25</v>
      </c>
      <c r="C13" s="13" t="s">
        <v>26</v>
      </c>
      <c r="D13" s="14">
        <v>2</v>
      </c>
      <c r="E13" s="5"/>
      <c r="F13" s="6"/>
    </row>
    <row r="14" spans="1:7" ht="60" customHeight="1">
      <c r="A14" s="105"/>
      <c r="B14" s="7" t="s">
        <v>27</v>
      </c>
      <c r="C14" s="8" t="s">
        <v>28</v>
      </c>
      <c r="D14" s="9">
        <v>2</v>
      </c>
      <c r="E14" s="5"/>
      <c r="F14" s="6"/>
    </row>
    <row r="15" spans="1:7" ht="60" customHeight="1">
      <c r="A15" s="105"/>
      <c r="B15" s="12" t="s">
        <v>29</v>
      </c>
      <c r="C15" s="13" t="s">
        <v>30</v>
      </c>
      <c r="D15" s="14">
        <v>2</v>
      </c>
      <c r="E15" s="5"/>
      <c r="F15" s="6"/>
    </row>
    <row r="16" spans="1:7" ht="60" customHeight="1">
      <c r="A16" s="105"/>
      <c r="B16" s="7" t="s">
        <v>31</v>
      </c>
      <c r="C16" s="8" t="s">
        <v>32</v>
      </c>
      <c r="D16" s="9">
        <v>1</v>
      </c>
      <c r="E16" s="5"/>
      <c r="F16" s="6"/>
    </row>
    <row r="17" spans="1:6" ht="60" customHeight="1">
      <c r="A17" s="105"/>
      <c r="B17" s="12" t="s">
        <v>33</v>
      </c>
      <c r="C17" s="13" t="s">
        <v>34</v>
      </c>
      <c r="D17" s="14">
        <v>1</v>
      </c>
      <c r="E17" s="5"/>
      <c r="F17" s="6"/>
    </row>
    <row r="18" spans="1:6" ht="20.100000000000001" customHeight="1">
      <c r="A18" s="87" t="s">
        <v>35</v>
      </c>
      <c r="B18" s="101"/>
      <c r="C18" s="102"/>
      <c r="D18" s="15">
        <v>8</v>
      </c>
      <c r="E18" s="16">
        <f>E13+E14+E15+E16+E17</f>
        <v>0</v>
      </c>
      <c r="F18" s="85"/>
    </row>
    <row r="19" spans="1:6" ht="20.100000000000001" customHeight="1">
      <c r="A19" s="83" t="s">
        <v>36</v>
      </c>
      <c r="B19" s="101"/>
      <c r="C19" s="101"/>
      <c r="D19" s="101"/>
      <c r="E19" s="101"/>
      <c r="F19" s="102"/>
    </row>
    <row r="20" spans="1:6" ht="60" customHeight="1">
      <c r="A20" s="79" t="s">
        <v>37</v>
      </c>
      <c r="B20" s="17" t="s">
        <v>38</v>
      </c>
      <c r="C20" s="18" t="s">
        <v>39</v>
      </c>
      <c r="D20" s="19">
        <v>2</v>
      </c>
      <c r="E20" s="5"/>
      <c r="F20" s="6"/>
    </row>
    <row r="21" spans="1:6" ht="60" customHeight="1">
      <c r="A21" s="105"/>
      <c r="B21" s="20" t="s">
        <v>40</v>
      </c>
      <c r="C21" s="21" t="s">
        <v>41</v>
      </c>
      <c r="D21" s="22">
        <v>1</v>
      </c>
      <c r="E21" s="5"/>
      <c r="F21" s="6"/>
    </row>
    <row r="22" spans="1:6" ht="20.100000000000001" customHeight="1">
      <c r="A22" s="99" t="s">
        <v>42</v>
      </c>
      <c r="B22" s="101"/>
      <c r="C22" s="102"/>
      <c r="D22" s="23">
        <v>3</v>
      </c>
      <c r="E22" s="24">
        <f>E20+E21</f>
        <v>0</v>
      </c>
      <c r="F22" s="93"/>
    </row>
    <row r="23" spans="1:6" ht="20.100000000000001" customHeight="1">
      <c r="A23" s="97" t="s">
        <v>43</v>
      </c>
      <c r="B23" s="101"/>
      <c r="C23" s="101"/>
      <c r="D23" s="101"/>
      <c r="E23" s="101"/>
      <c r="F23" s="102"/>
    </row>
    <row r="24" spans="1:6" ht="89.25" customHeight="1">
      <c r="A24" s="100" t="s">
        <v>44</v>
      </c>
      <c r="B24" s="25" t="s">
        <v>45</v>
      </c>
      <c r="C24" s="26" t="s">
        <v>46</v>
      </c>
      <c r="D24" s="27">
        <v>2</v>
      </c>
      <c r="E24" s="5"/>
      <c r="F24" s="6"/>
    </row>
    <row r="25" spans="1:6" ht="60" customHeight="1">
      <c r="A25" s="106"/>
      <c r="B25" s="28" t="s">
        <v>47</v>
      </c>
      <c r="C25" s="29" t="s">
        <v>48</v>
      </c>
      <c r="D25" s="30">
        <v>1</v>
      </c>
      <c r="E25" s="5"/>
      <c r="F25" s="6"/>
    </row>
    <row r="26" spans="1:6" ht="20.100000000000001" customHeight="1">
      <c r="A26" s="80" t="s">
        <v>49</v>
      </c>
      <c r="B26" s="101"/>
      <c r="C26" s="102"/>
      <c r="D26" s="31">
        <v>3</v>
      </c>
      <c r="E26" s="32">
        <f>E24+E25</f>
        <v>0</v>
      </c>
      <c r="F26" s="78"/>
    </row>
    <row r="27" spans="1:6" ht="27.95" customHeight="1">
      <c r="A27" s="96" t="s">
        <v>50</v>
      </c>
      <c r="B27" s="101"/>
      <c r="C27" s="102"/>
      <c r="D27" s="33">
        <v>20</v>
      </c>
      <c r="E27" s="34">
        <f>E8+E9+E10+E13+E14+E15+E16+E17+E20+E21+E24+E25</f>
        <v>0</v>
      </c>
      <c r="F27" s="35" t="s">
        <v>51</v>
      </c>
    </row>
    <row r="29" spans="1:6" ht="18" customHeight="1">
      <c r="A29" s="77" t="s">
        <v>52</v>
      </c>
      <c r="B29" s="101"/>
      <c r="C29" s="101"/>
      <c r="D29" s="101"/>
      <c r="E29" s="101"/>
      <c r="F29" s="102"/>
    </row>
    <row r="30" spans="1:6" ht="14.1" customHeight="1">
      <c r="A30" s="98" t="s">
        <v>53</v>
      </c>
      <c r="B30" s="101"/>
      <c r="C30" s="101"/>
      <c r="D30" s="101"/>
      <c r="E30" s="101"/>
      <c r="F30" s="102"/>
    </row>
    <row r="31" spans="1:6" ht="36" customHeight="1">
      <c r="A31" s="76"/>
      <c r="B31" s="101"/>
      <c r="C31" s="101"/>
      <c r="D31" s="101"/>
      <c r="E31" s="101"/>
      <c r="F31" s="102"/>
    </row>
    <row r="32" spans="1:6" ht="14.1" customHeight="1">
      <c r="A32" s="98" t="s">
        <v>54</v>
      </c>
      <c r="B32" s="101"/>
      <c r="C32" s="101"/>
      <c r="D32" s="101"/>
      <c r="E32" s="101"/>
      <c r="F32" s="102"/>
    </row>
    <row r="33" spans="1:6" ht="36" customHeight="1">
      <c r="A33" s="76"/>
      <c r="B33" s="101"/>
      <c r="C33" s="101"/>
      <c r="D33" s="101"/>
      <c r="E33" s="101"/>
      <c r="F33" s="102"/>
    </row>
    <row r="34" spans="1:6" ht="14.1" customHeight="1">
      <c r="A34" s="98" t="s">
        <v>55</v>
      </c>
      <c r="B34" s="101"/>
      <c r="C34" s="101"/>
      <c r="D34" s="101"/>
      <c r="E34" s="101"/>
      <c r="F34" s="102"/>
    </row>
    <row r="35" spans="1:6" ht="36" customHeight="1">
      <c r="A35" s="76"/>
      <c r="B35" s="101"/>
      <c r="C35" s="101"/>
      <c r="D35" s="101"/>
      <c r="E35" s="101"/>
      <c r="F35" s="102"/>
    </row>
  </sheetData>
  <mergeCells count="32">
    <mergeCell ref="A35:F35"/>
    <mergeCell ref="A2:G2"/>
    <mergeCell ref="E4:G4"/>
    <mergeCell ref="F22"/>
    <mergeCell ref="C3:D3"/>
    <mergeCell ref="A7:F7"/>
    <mergeCell ref="A3:B3"/>
    <mergeCell ref="A11:C11"/>
    <mergeCell ref="A27:C27"/>
    <mergeCell ref="A23:F23"/>
    <mergeCell ref="A32:F32"/>
    <mergeCell ref="A22:C22"/>
    <mergeCell ref="A24:A25"/>
    <mergeCell ref="A31:F31"/>
    <mergeCell ref="A34:F34"/>
    <mergeCell ref="A30:F30"/>
    <mergeCell ref="A1:G1"/>
    <mergeCell ref="A13:A17"/>
    <mergeCell ref="A19:F19"/>
    <mergeCell ref="E3:G3"/>
    <mergeCell ref="F18"/>
    <mergeCell ref="A4:B4"/>
    <mergeCell ref="A12:F12"/>
    <mergeCell ref="A18:C18"/>
    <mergeCell ref="C4:D4"/>
    <mergeCell ref="F11"/>
    <mergeCell ref="A8:A10"/>
    <mergeCell ref="A33:F33"/>
    <mergeCell ref="A29:F29"/>
    <mergeCell ref="F26"/>
    <mergeCell ref="A20:A21"/>
    <mergeCell ref="A26:C26"/>
  </mergeCells>
  <dataValidations count="3">
    <dataValidation type="decimal" showErrorMessage="1" errorTitle="Invalid score" error="Score must be between 0 and 3" sqref="E8" xr:uid="{00000000-0002-0000-0000-000000000000}">
      <formula1>0</formula1>
      <formula2>3</formula2>
    </dataValidation>
    <dataValidation type="decimal" showErrorMessage="1" errorTitle="Invalid score" error="Score must be between 0 and 2" sqref="E9:E10 E13:E14" xr:uid="{00000000-0002-0000-0000-000001000000}">
      <formula1>0</formula1>
      <formula2>2</formula2>
    </dataValidation>
    <dataValidation type="decimal" showErrorMessage="1" errorTitle="Invalid score" error="Score must be between 0 and 1" sqref="E24:E25 E20:E21 E15:E17" xr:uid="{00000000-0002-0000-0000-000004000000}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showGridLines="0" tabSelected="1" workbookViewId="0">
      <pane ySplit="7" topLeftCell="A8" activePane="bottomLeft" state="frozen"/>
      <selection pane="bottomLeft" activeCell="B8" sqref="B8"/>
    </sheetView>
  </sheetViews>
  <sheetFormatPr defaultColWidth="9.140625" defaultRowHeight="15"/>
  <cols>
    <col min="1" max="1" width="28.28515625" customWidth="1"/>
    <col min="2" max="2" width="22.85546875" customWidth="1"/>
    <col min="3" max="3" width="20.28515625" customWidth="1"/>
    <col min="4" max="4" width="18.28515625" customWidth="1"/>
    <col min="5" max="5" width="21.85546875" customWidth="1"/>
    <col min="6" max="6" width="20.7109375" customWidth="1"/>
    <col min="7" max="7" width="13" customWidth="1"/>
    <col min="8" max="8" width="17.28515625" customWidth="1"/>
    <col min="9" max="9" width="14.7109375" customWidth="1"/>
    <col min="10" max="10" width="12" customWidth="1"/>
    <col min="11" max="11" width="9" customWidth="1"/>
    <col min="12" max="13" width="12" customWidth="1"/>
  </cols>
  <sheetData>
    <row r="1" spans="1:9" ht="33.950000000000003" customHeight="1">
      <c r="A1" s="70" t="s">
        <v>56</v>
      </c>
      <c r="B1" s="101"/>
      <c r="C1" s="101"/>
      <c r="D1" s="101"/>
      <c r="E1" s="101"/>
      <c r="F1" s="101"/>
      <c r="G1" s="101"/>
      <c r="H1" s="102"/>
      <c r="I1" s="107"/>
    </row>
    <row r="2" spans="1:9" ht="15" customHeight="1">
      <c r="A2" s="62" t="s">
        <v>57</v>
      </c>
      <c r="B2" s="101"/>
      <c r="C2" s="101"/>
      <c r="D2" s="101"/>
      <c r="E2" s="101"/>
      <c r="F2" s="101"/>
      <c r="G2" s="101"/>
      <c r="H2" s="102"/>
      <c r="I2" s="107"/>
    </row>
    <row r="3" spans="1:9" ht="15" customHeight="1">
      <c r="A3" s="63" t="s">
        <v>2</v>
      </c>
      <c r="B3" s="101"/>
      <c r="C3" s="101"/>
      <c r="D3" s="101"/>
      <c r="E3" s="101"/>
      <c r="F3" s="101"/>
      <c r="G3" s="64" t="s">
        <v>6</v>
      </c>
      <c r="H3" s="65"/>
      <c r="I3" s="66"/>
    </row>
    <row r="4" spans="1:9" ht="6" customHeight="1">
      <c r="A4" s="107"/>
      <c r="B4" s="107"/>
      <c r="C4" s="107"/>
      <c r="D4" s="107"/>
      <c r="E4" s="107"/>
      <c r="F4" s="107"/>
      <c r="G4" s="107"/>
      <c r="H4" s="107"/>
      <c r="I4" s="107"/>
    </row>
    <row r="5" spans="1:9" ht="14.1" customHeight="1">
      <c r="A5" s="68" t="s">
        <v>58</v>
      </c>
      <c r="B5" s="101"/>
      <c r="C5" s="101"/>
      <c r="D5" s="101"/>
      <c r="E5" s="101"/>
      <c r="F5" s="101"/>
      <c r="G5" s="101"/>
      <c r="H5" s="108"/>
      <c r="I5" s="107"/>
    </row>
    <row r="6" spans="1:9" ht="21.95" customHeight="1">
      <c r="A6" s="1" t="s">
        <v>59</v>
      </c>
      <c r="B6" s="61" t="s">
        <v>60</v>
      </c>
      <c r="C6" s="101"/>
      <c r="D6" s="101"/>
      <c r="E6" s="101"/>
      <c r="F6" s="102"/>
      <c r="G6" s="41" t="s">
        <v>61</v>
      </c>
      <c r="H6" s="69" t="s">
        <v>62</v>
      </c>
      <c r="I6" s="69"/>
    </row>
    <row r="7" spans="1:9" ht="64.5" customHeight="1">
      <c r="A7" s="36"/>
      <c r="B7" s="46" t="s">
        <v>63</v>
      </c>
      <c r="C7" s="47" t="s">
        <v>64</v>
      </c>
      <c r="D7" s="45" t="s">
        <v>65</v>
      </c>
      <c r="E7" s="44" t="s">
        <v>66</v>
      </c>
      <c r="F7" s="43" t="s">
        <v>67</v>
      </c>
      <c r="G7" s="41"/>
      <c r="H7" s="69"/>
      <c r="I7" s="69"/>
    </row>
    <row r="8" spans="1:9" ht="21.95" customHeight="1">
      <c r="A8" s="38" t="s">
        <v>68</v>
      </c>
      <c r="B8" s="37"/>
      <c r="C8" s="37"/>
      <c r="D8" s="37"/>
      <c r="E8" s="37"/>
      <c r="F8" s="37"/>
      <c r="G8" s="42">
        <f t="shared" ref="G8:G14" si="0">IFERROR(ROUND((IF(B8="Weak (0.5)",0.5,IF(B8="Average (1)",1,IF(B8="Good (2)",2,IF(B8="Excellent (4)",4,0))))+IF(C8="Weak (0.5)",0.5,IF(C8="Average (1)",1,IF(C8="Good (2)",2,IF(C8="Excellent (4)",4,0))))+IF(D8="Weak (0.5)",0.5,IF(D8="Average (1)",1,IF(D8="Good (2)",2,IF(D8="Excellent (4)",4,0))))+IF(E8="Weak (0.5)",0.5,IF(E8="Average (1)",1,IF(E8="Good (2)",2,IF(E8="Excellent (4)",4,0))))+IF(F8="Weak (0.5)",0.5,IF(F8="Average (1)",1,IF(F8="Good (2)",2,IF(F8="Excellent (4)",4,0)))))/20*20,1),"—")</f>
        <v>0</v>
      </c>
      <c r="H8" s="67">
        <f>'Group Score'!E27</f>
        <v>0</v>
      </c>
      <c r="I8" s="67"/>
    </row>
    <row r="9" spans="1:9" ht="21.95" customHeight="1">
      <c r="A9" s="39" t="s">
        <v>69</v>
      </c>
      <c r="B9" s="37"/>
      <c r="C9" s="37"/>
      <c r="D9" s="37"/>
      <c r="E9" s="37"/>
      <c r="F9" s="37"/>
      <c r="G9" s="42">
        <f t="shared" si="0"/>
        <v>0</v>
      </c>
      <c r="H9" s="67">
        <f>'Group Score'!E27</f>
        <v>0</v>
      </c>
      <c r="I9" s="67"/>
    </row>
    <row r="10" spans="1:9" ht="21.95" customHeight="1">
      <c r="A10" s="38" t="s">
        <v>70</v>
      </c>
      <c r="B10" s="37"/>
      <c r="C10" s="37"/>
      <c r="D10" s="37"/>
      <c r="E10" s="37"/>
      <c r="F10" s="37"/>
      <c r="G10" s="42">
        <f t="shared" si="0"/>
        <v>0</v>
      </c>
      <c r="H10" s="67">
        <f>'Group Score'!E27</f>
        <v>0</v>
      </c>
      <c r="I10" s="67"/>
    </row>
    <row r="11" spans="1:9" ht="21.95" customHeight="1">
      <c r="A11" s="39" t="s">
        <v>71</v>
      </c>
      <c r="B11" s="37"/>
      <c r="C11" s="37"/>
      <c r="D11" s="37"/>
      <c r="E11" s="37"/>
      <c r="F11" s="37"/>
      <c r="G11" s="42">
        <f t="shared" si="0"/>
        <v>0</v>
      </c>
      <c r="H11" s="67">
        <f>'Group Score'!E27</f>
        <v>0</v>
      </c>
      <c r="I11" s="67"/>
    </row>
    <row r="12" spans="1:9" ht="21.95" customHeight="1">
      <c r="A12" s="38" t="s">
        <v>72</v>
      </c>
      <c r="B12" s="37"/>
      <c r="C12" s="37"/>
      <c r="D12" s="37"/>
      <c r="E12" s="37"/>
      <c r="F12" s="37"/>
      <c r="G12" s="42">
        <f t="shared" si="0"/>
        <v>0</v>
      </c>
      <c r="H12" s="67">
        <f>'Group Score'!E27</f>
        <v>0</v>
      </c>
      <c r="I12" s="67"/>
    </row>
    <row r="13" spans="1:9" ht="21.95" customHeight="1">
      <c r="A13" s="39" t="s">
        <v>73</v>
      </c>
      <c r="B13" s="37"/>
      <c r="C13" s="37"/>
      <c r="D13" s="37"/>
      <c r="E13" s="37"/>
      <c r="F13" s="37"/>
      <c r="G13" s="42">
        <f t="shared" si="0"/>
        <v>0</v>
      </c>
      <c r="H13" s="67">
        <f>'Group Score'!E27</f>
        <v>0</v>
      </c>
      <c r="I13" s="67"/>
    </row>
    <row r="14" spans="1:9" ht="21.95" customHeight="1">
      <c r="A14" s="38" t="s">
        <v>74</v>
      </c>
      <c r="B14" s="37"/>
      <c r="C14" s="37"/>
      <c r="D14" s="37"/>
      <c r="E14" s="37"/>
      <c r="F14" s="37"/>
      <c r="G14" s="42">
        <f t="shared" si="0"/>
        <v>0</v>
      </c>
      <c r="H14" s="67">
        <f>'Group Score'!E27</f>
        <v>0</v>
      </c>
      <c r="I14" s="67"/>
    </row>
    <row r="15" spans="1:9" ht="21.95" customHeight="1">
      <c r="A15" s="56" t="s">
        <v>75</v>
      </c>
      <c r="B15" s="101"/>
      <c r="C15" s="101"/>
      <c r="D15" s="102"/>
      <c r="E15" s="101"/>
      <c r="F15" s="101"/>
      <c r="G15" s="57">
        <f>IFERROR(AVERAGEIF(G8:G14,"&lt;&gt;—"),"—")</f>
        <v>0</v>
      </c>
      <c r="H15" s="58">
        <f>IFERROR(AVERAGEIF(H8:H14,"&lt;&gt;—"),"—")</f>
        <v>0</v>
      </c>
      <c r="I15" s="107"/>
    </row>
    <row r="16" spans="1:9" ht="9.9499999999999993" customHeight="1">
      <c r="A16" s="107"/>
      <c r="B16" s="107"/>
      <c r="C16" s="107"/>
      <c r="D16" s="107"/>
      <c r="E16" s="107"/>
      <c r="F16" s="107"/>
      <c r="G16" s="109"/>
      <c r="H16" s="109"/>
      <c r="I16" s="107"/>
    </row>
    <row r="17" spans="1:10" ht="45.95" customHeight="1">
      <c r="A17" s="59" t="s">
        <v>76</v>
      </c>
      <c r="B17" s="59"/>
      <c r="C17" s="59"/>
      <c r="D17" s="59"/>
      <c r="E17" s="59"/>
      <c r="F17" s="59"/>
      <c r="G17" s="59"/>
      <c r="H17" s="59"/>
      <c r="I17" s="59"/>
      <c r="J17" s="60"/>
    </row>
    <row r="18" spans="1:10" ht="84.95" customHeight="1">
      <c r="A18" s="40" t="s">
        <v>77</v>
      </c>
      <c r="B18" s="72" t="s">
        <v>78</v>
      </c>
      <c r="C18" s="102"/>
      <c r="D18" s="73" t="s">
        <v>79</v>
      </c>
      <c r="E18" s="102"/>
      <c r="F18" s="74" t="s">
        <v>80</v>
      </c>
      <c r="G18" s="102"/>
      <c r="H18" s="75" t="s">
        <v>81</v>
      </c>
      <c r="I18" s="102"/>
    </row>
    <row r="19" spans="1:10" ht="84.95" customHeight="1">
      <c r="A19" s="48" t="s">
        <v>82</v>
      </c>
      <c r="B19" s="55" t="s">
        <v>83</v>
      </c>
      <c r="C19" s="110"/>
      <c r="D19" s="55" t="s">
        <v>84</v>
      </c>
      <c r="E19" s="110"/>
      <c r="F19" s="55" t="s">
        <v>85</v>
      </c>
      <c r="G19" s="110"/>
      <c r="H19" s="55" t="s">
        <v>86</v>
      </c>
      <c r="I19" s="110"/>
    </row>
    <row r="20" spans="1:10" ht="84.95" customHeight="1">
      <c r="A20" s="49" t="s">
        <v>87</v>
      </c>
      <c r="B20" s="55" t="s">
        <v>88</v>
      </c>
      <c r="C20" s="110"/>
      <c r="D20" s="55" t="s">
        <v>89</v>
      </c>
      <c r="E20" s="110"/>
      <c r="F20" s="55" t="s">
        <v>90</v>
      </c>
      <c r="G20" s="110"/>
      <c r="H20" s="55" t="s">
        <v>91</v>
      </c>
      <c r="I20" s="110"/>
    </row>
    <row r="21" spans="1:10" ht="84.95" customHeight="1">
      <c r="A21" s="50" t="s">
        <v>92</v>
      </c>
      <c r="B21" s="55" t="s">
        <v>93</v>
      </c>
      <c r="C21" s="110"/>
      <c r="D21" s="55" t="s">
        <v>94</v>
      </c>
      <c r="E21" s="110"/>
      <c r="F21" s="55" t="s">
        <v>95</v>
      </c>
      <c r="G21" s="110"/>
      <c r="H21" s="55" t="s">
        <v>96</v>
      </c>
      <c r="I21" s="110"/>
    </row>
    <row r="22" spans="1:10" ht="84.95" customHeight="1">
      <c r="A22" s="51" t="s">
        <v>97</v>
      </c>
      <c r="B22" s="55" t="s">
        <v>98</v>
      </c>
      <c r="C22" s="110"/>
      <c r="D22" s="55" t="s">
        <v>99</v>
      </c>
      <c r="E22" s="110"/>
      <c r="F22" s="55" t="s">
        <v>100</v>
      </c>
      <c r="G22" s="110"/>
      <c r="H22" s="55" t="s">
        <v>101</v>
      </c>
      <c r="I22" s="110"/>
      <c r="J22">
        <f>SUM(J19:J21)</f>
        <v>0</v>
      </c>
    </row>
    <row r="23" spans="1:10" ht="81.75" customHeight="1">
      <c r="A23" s="52" t="s">
        <v>102</v>
      </c>
      <c r="B23" s="55" t="s">
        <v>103</v>
      </c>
      <c r="C23" s="110"/>
      <c r="D23" s="55" t="s">
        <v>104</v>
      </c>
      <c r="E23" s="110"/>
      <c r="F23" s="55" t="s">
        <v>105</v>
      </c>
      <c r="G23" s="110"/>
      <c r="H23" s="55" t="s">
        <v>106</v>
      </c>
      <c r="I23" s="110"/>
    </row>
    <row r="24" spans="1:10" ht="15.95" customHeight="1">
      <c r="A24" s="71" t="s">
        <v>107</v>
      </c>
      <c r="B24" s="101"/>
      <c r="C24" s="101"/>
      <c r="D24" s="101"/>
      <c r="E24" s="101"/>
      <c r="F24" s="101"/>
      <c r="G24" s="102"/>
      <c r="H24" s="102"/>
      <c r="I24" s="107"/>
      <c r="J24" s="107"/>
    </row>
  </sheetData>
  <mergeCells count="45">
    <mergeCell ref="H22:I22"/>
    <mergeCell ref="B23:C23"/>
    <mergeCell ref="D23:E23"/>
    <mergeCell ref="F23:G23"/>
    <mergeCell ref="H23:I23"/>
    <mergeCell ref="D22:E22"/>
    <mergeCell ref="F22:G22"/>
    <mergeCell ref="A1:I1"/>
    <mergeCell ref="H20:I20"/>
    <mergeCell ref="A24:J24"/>
    <mergeCell ref="D3:F3"/>
    <mergeCell ref="A4:I4"/>
    <mergeCell ref="A16:I16"/>
    <mergeCell ref="B19:C19"/>
    <mergeCell ref="B18:C18"/>
    <mergeCell ref="D18:E18"/>
    <mergeCell ref="F18:G18"/>
    <mergeCell ref="H18:I18"/>
    <mergeCell ref="B20:C20"/>
    <mergeCell ref="B22:C22"/>
    <mergeCell ref="H12:I12"/>
    <mergeCell ref="H13:I13"/>
    <mergeCell ref="H14:I14"/>
    <mergeCell ref="B6:F6"/>
    <mergeCell ref="A2:I2"/>
    <mergeCell ref="A3:C3"/>
    <mergeCell ref="G3:I3"/>
    <mergeCell ref="H11:I11"/>
    <mergeCell ref="A5:I5"/>
    <mergeCell ref="H8:I8"/>
    <mergeCell ref="H6:I6"/>
    <mergeCell ref="H7:I7"/>
    <mergeCell ref="H9:I9"/>
    <mergeCell ref="H10:I10"/>
    <mergeCell ref="B21:C21"/>
    <mergeCell ref="D21:E21"/>
    <mergeCell ref="F21:G21"/>
    <mergeCell ref="H21:I21"/>
    <mergeCell ref="A15:I15"/>
    <mergeCell ref="D20:E20"/>
    <mergeCell ref="A17:J17"/>
    <mergeCell ref="D19:E19"/>
    <mergeCell ref="F20:G20"/>
    <mergeCell ref="F19:G19"/>
    <mergeCell ref="H19:I19"/>
  </mergeCells>
  <dataValidations count="3">
    <dataValidation type="list" showErrorMessage="1" errorTitle="Invalid level" error="Please select: Weak (0.5), Average (1), Good (2), or Excellent (4)" sqref="B8:D14" xr:uid="{00000000-0002-0000-0100-000000000000}">
      <formula1>"Weak (0.5),Average (1),Good (2),Excellent (4)"</formula1>
    </dataValidation>
    <dataValidation type="list" showErrorMessage="1" errorTitle="Invalid" error="Select: Weak (0.5), Average (1), Good (2), Excellent (4)" sqref="E8:F14" xr:uid="{00000000-0002-0000-0100-000023000000}">
      <formula1>"Weak (0.5),Average (1),Good (2),Excellent (4)"</formula1>
    </dataValidation>
    <dataValidation type="list" showErrorMessage="1" errorTitle="Invalid score" error="Enter: 0.5 (Weak), 1 (Average), 2 (Good), or 4 (Excellent)" sqref="J19:J21" xr:uid="{10B7EFAD-542E-4206-B532-EF472D69C985}">
      <formula1>"0.5,1,2,4"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2026-05-03T14:04:08Z</dcterms:created>
  <dcterms:modified xsi:type="dcterms:W3CDTF">2026-05-07T14:42:20Z</dcterms:modified>
  <cp:category/>
  <cp:contentStatus/>
</cp:coreProperties>
</file>